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iss\animacion\ani\electronica\estadistica\tra256\expo\examen\Analisis Numerico\Raices\"/>
    </mc:Choice>
  </mc:AlternateContent>
  <xr:revisionPtr revIDLastSave="0" documentId="8_{0F162DB1-687E-466D-BEDE-2D782D7D2D31}" xr6:coauthVersionLast="47" xr6:coauthVersionMax="47" xr10:uidLastSave="{00000000-0000-0000-0000-000000000000}"/>
  <bookViews>
    <workbookView xWindow="-120" yWindow="-120" windowWidth="19440" windowHeight="11640" activeTab="2" xr2:uid="{B9E27A9B-E1B8-4D6E-BC29-1E9E248D8272}"/>
  </bookViews>
  <sheets>
    <sheet name="Biseccion" sheetId="1" r:id="rId1"/>
    <sheet name="Newton-Raphson" sheetId="2" r:id="rId2"/>
    <sheet name="Secant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4" i="3" l="1"/>
  <c r="A101" i="3"/>
  <c r="A102" i="3" s="1"/>
  <c r="A103" i="3" s="1"/>
  <c r="A97" i="3"/>
  <c r="A98" i="3"/>
  <c r="A99" i="3" s="1"/>
  <c r="A100" i="3" s="1"/>
  <c r="C84" i="3"/>
  <c r="B85" i="3" s="1"/>
  <c r="D85" i="3" s="1"/>
  <c r="B84" i="3"/>
  <c r="D84" i="3" s="1"/>
  <c r="A85" i="3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67" i="3"/>
  <c r="A68" i="3"/>
  <c r="A69" i="3" s="1"/>
  <c r="A70" i="3" s="1"/>
  <c r="D58" i="3"/>
  <c r="C58" i="3"/>
  <c r="E58" i="3" s="1"/>
  <c r="B58" i="3"/>
  <c r="A60" i="3"/>
  <c r="A61" i="3" s="1"/>
  <c r="A62" i="3" s="1"/>
  <c r="A63" i="3" s="1"/>
  <c r="A64" i="3" s="1"/>
  <c r="A65" i="3" s="1"/>
  <c r="A66" i="3" s="1"/>
  <c r="A59" i="3"/>
  <c r="C36" i="3"/>
  <c r="B36" i="3"/>
  <c r="D36" i="3" s="1"/>
  <c r="E36" i="3"/>
  <c r="B37" i="3"/>
  <c r="D37" i="3" s="1"/>
  <c r="A37" i="3"/>
  <c r="A38" i="3" s="1"/>
  <c r="A39" i="3" s="1"/>
  <c r="A40" i="3" s="1"/>
  <c r="A41" i="3" s="1"/>
  <c r="A42" i="3" s="1"/>
  <c r="A43" i="3" s="1"/>
  <c r="A44" i="3" s="1"/>
  <c r="A15" i="3"/>
  <c r="A16" i="3" s="1"/>
  <c r="A17" i="3" s="1"/>
  <c r="A18" i="3" s="1"/>
  <c r="A19" i="3" s="1"/>
  <c r="A20" i="3" s="1"/>
  <c r="A21" i="3" s="1"/>
  <c r="A22" i="3" s="1"/>
  <c r="C14" i="3"/>
  <c r="B15" i="3" s="1"/>
  <c r="D15" i="3" s="1"/>
  <c r="B14" i="3"/>
  <c r="D14" i="3" s="1"/>
  <c r="D86" i="2"/>
  <c r="C86" i="2"/>
  <c r="D85" i="2"/>
  <c r="C85" i="2"/>
  <c r="B85" i="2"/>
  <c r="D71" i="2"/>
  <c r="D62" i="2"/>
  <c r="D61" i="2"/>
  <c r="C61" i="2"/>
  <c r="B61" i="2"/>
  <c r="A86" i="2"/>
  <c r="A87" i="2" s="1"/>
  <c r="A88" i="2" s="1"/>
  <c r="A89" i="2" s="1"/>
  <c r="A90" i="2" s="1"/>
  <c r="A91" i="2" s="1"/>
  <c r="A92" i="2" s="1"/>
  <c r="A93" i="2" s="1"/>
  <c r="A94" i="2" s="1"/>
  <c r="A95" i="2" s="1"/>
  <c r="A62" i="2"/>
  <c r="A63" i="2" s="1"/>
  <c r="A64" i="2" s="1"/>
  <c r="A65" i="2" s="1"/>
  <c r="A66" i="2" s="1"/>
  <c r="A67" i="2" s="1"/>
  <c r="A68" i="2" s="1"/>
  <c r="A69" i="2" s="1"/>
  <c r="A70" i="2" s="1"/>
  <c r="A71" i="2" s="1"/>
  <c r="B37" i="2"/>
  <c r="C37" i="2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15" i="2"/>
  <c r="A16" i="2" s="1"/>
  <c r="A17" i="2" s="1"/>
  <c r="A18" i="2" s="1"/>
  <c r="A19" i="2" s="1"/>
  <c r="A20" i="2" s="1"/>
  <c r="A21" i="2" s="1"/>
  <c r="A22" i="2" s="1"/>
  <c r="A23" i="2" s="1"/>
  <c r="A24" i="2" s="1"/>
  <c r="B14" i="2"/>
  <c r="C14" i="2" s="1"/>
  <c r="F56" i="1"/>
  <c r="F81" i="1"/>
  <c r="F7" i="1"/>
  <c r="F31" i="1"/>
  <c r="E14" i="1"/>
  <c r="F38" i="1"/>
  <c r="C38" i="1"/>
  <c r="B38" i="1"/>
  <c r="E38" i="1" s="1"/>
  <c r="E63" i="1"/>
  <c r="C63" i="1"/>
  <c r="F63" i="1" s="1"/>
  <c r="B63" i="1"/>
  <c r="B88" i="1"/>
  <c r="E88" i="1" s="1"/>
  <c r="C88" i="1"/>
  <c r="F88" i="1" s="1"/>
  <c r="C14" i="1"/>
  <c r="F14" i="1" s="1"/>
  <c r="B14" i="1"/>
  <c r="D14" i="1" s="1"/>
  <c r="G14" i="1" s="1"/>
  <c r="E84" i="3" l="1"/>
  <c r="F84" i="3" s="1"/>
  <c r="F58" i="3"/>
  <c r="B59" i="3"/>
  <c r="D59" i="3" s="1"/>
  <c r="F36" i="3"/>
  <c r="C37" i="3" s="1"/>
  <c r="E37" i="3" s="1"/>
  <c r="E14" i="3"/>
  <c r="F14" i="3"/>
  <c r="D37" i="2"/>
  <c r="E37" i="2" s="1"/>
  <c r="B38" i="2" s="1"/>
  <c r="E85" i="2"/>
  <c r="D14" i="2"/>
  <c r="E14" i="2" s="1"/>
  <c r="H38" i="1"/>
  <c r="D38" i="1"/>
  <c r="G38" i="1" s="1"/>
  <c r="D88" i="1"/>
  <c r="G88" i="1" s="1"/>
  <c r="I88" i="1" s="1"/>
  <c r="H88" i="1"/>
  <c r="D63" i="1"/>
  <c r="H63" i="1"/>
  <c r="I14" i="1"/>
  <c r="H14" i="1"/>
  <c r="C15" i="1"/>
  <c r="F15" i="1" s="1"/>
  <c r="B15" i="1"/>
  <c r="E15" i="1" s="1"/>
  <c r="G84" i="3" l="1"/>
  <c r="C85" i="3"/>
  <c r="E85" i="3" s="1"/>
  <c r="G58" i="3"/>
  <c r="C59" i="3"/>
  <c r="E59" i="3" s="1"/>
  <c r="G36" i="3"/>
  <c r="F37" i="3"/>
  <c r="B38" i="3"/>
  <c r="D38" i="3" s="1"/>
  <c r="C15" i="3"/>
  <c r="G14" i="3"/>
  <c r="C38" i="2"/>
  <c r="D38" i="2"/>
  <c r="E61" i="2"/>
  <c r="F61" i="2" s="1"/>
  <c r="F85" i="2"/>
  <c r="B86" i="2"/>
  <c r="B15" i="2"/>
  <c r="F14" i="2"/>
  <c r="F37" i="2"/>
  <c r="G63" i="1"/>
  <c r="I63" i="1" s="1"/>
  <c r="I38" i="1"/>
  <c r="C39" i="1" s="1"/>
  <c r="F39" i="1" s="1"/>
  <c r="C89" i="1"/>
  <c r="F89" i="1" s="1"/>
  <c r="B89" i="1"/>
  <c r="E89" i="1" s="1"/>
  <c r="H15" i="1"/>
  <c r="D15" i="1"/>
  <c r="G15" i="1" s="1"/>
  <c r="I15" i="1" s="1"/>
  <c r="F85" i="3" l="1"/>
  <c r="B86" i="3"/>
  <c r="D86" i="3" s="1"/>
  <c r="B60" i="3"/>
  <c r="D60" i="3" s="1"/>
  <c r="F59" i="3"/>
  <c r="G37" i="3"/>
  <c r="C38" i="3"/>
  <c r="E38" i="3" s="1"/>
  <c r="B16" i="3"/>
  <c r="D16" i="3" s="1"/>
  <c r="E15" i="3"/>
  <c r="F15" i="3" s="1"/>
  <c r="B62" i="2"/>
  <c r="D15" i="2"/>
  <c r="C15" i="2"/>
  <c r="E15" i="2" s="1"/>
  <c r="C64" i="1"/>
  <c r="F64" i="1" s="1"/>
  <c r="B64" i="1"/>
  <c r="E64" i="1" s="1"/>
  <c r="B39" i="1"/>
  <c r="E39" i="1" s="1"/>
  <c r="H89" i="1"/>
  <c r="D89" i="1"/>
  <c r="G89" i="1" s="1"/>
  <c r="C16" i="1"/>
  <c r="B16" i="1"/>
  <c r="G85" i="3" l="1"/>
  <c r="C86" i="3"/>
  <c r="E86" i="3" s="1"/>
  <c r="G59" i="3"/>
  <c r="C60" i="3"/>
  <c r="E60" i="3" s="1"/>
  <c r="F38" i="3"/>
  <c r="B39" i="3"/>
  <c r="D39" i="3" s="1"/>
  <c r="C16" i="3"/>
  <c r="G15" i="3"/>
  <c r="C62" i="2"/>
  <c r="E62" i="2" s="1"/>
  <c r="E86" i="2"/>
  <c r="B87" i="2" s="1"/>
  <c r="E38" i="2"/>
  <c r="B39" i="2" s="1"/>
  <c r="F15" i="2"/>
  <c r="B16" i="2"/>
  <c r="D64" i="1"/>
  <c r="G64" i="1" s="1"/>
  <c r="I64" i="1" s="1"/>
  <c r="C65" i="1" s="1"/>
  <c r="F65" i="1" s="1"/>
  <c r="H64" i="1"/>
  <c r="D39" i="1"/>
  <c r="G39" i="1" s="1"/>
  <c r="H39" i="1"/>
  <c r="I39" i="1"/>
  <c r="C40" i="1" s="1"/>
  <c r="F40" i="1" s="1"/>
  <c r="I89" i="1"/>
  <c r="B90" i="1" s="1"/>
  <c r="E90" i="1" s="1"/>
  <c r="D16" i="1"/>
  <c r="G16" i="1" s="1"/>
  <c r="E16" i="1"/>
  <c r="F16" i="1"/>
  <c r="H16" i="1"/>
  <c r="F86" i="3" l="1"/>
  <c r="B87" i="3"/>
  <c r="D87" i="3" s="1"/>
  <c r="F60" i="3"/>
  <c r="B61" i="3"/>
  <c r="D61" i="3" s="1"/>
  <c r="C39" i="3"/>
  <c r="E39" i="3" s="1"/>
  <c r="G38" i="3"/>
  <c r="E16" i="3"/>
  <c r="B17" i="3"/>
  <c r="D17" i="3" s="1"/>
  <c r="F16" i="3"/>
  <c r="C87" i="2"/>
  <c r="E87" i="2" s="1"/>
  <c r="D87" i="2"/>
  <c r="F62" i="2"/>
  <c r="B63" i="2"/>
  <c r="C39" i="2"/>
  <c r="D39" i="2"/>
  <c r="F38" i="2"/>
  <c r="F86" i="2"/>
  <c r="C16" i="2"/>
  <c r="D16" i="2"/>
  <c r="E16" i="2" s="1"/>
  <c r="B65" i="1"/>
  <c r="E65" i="1" s="1"/>
  <c r="B40" i="1"/>
  <c r="E40" i="1" s="1"/>
  <c r="C90" i="1"/>
  <c r="F90" i="1" s="1"/>
  <c r="H65" i="1"/>
  <c r="D65" i="1"/>
  <c r="G65" i="1" s="1"/>
  <c r="I16" i="1"/>
  <c r="G86" i="3" l="1"/>
  <c r="C87" i="3"/>
  <c r="E87" i="3" s="1"/>
  <c r="C61" i="3"/>
  <c r="E61" i="3" s="1"/>
  <c r="G60" i="3"/>
  <c r="F39" i="3"/>
  <c r="B40" i="3"/>
  <c r="D40" i="3" s="1"/>
  <c r="G16" i="3"/>
  <c r="C17" i="3"/>
  <c r="C63" i="2"/>
  <c r="D63" i="2"/>
  <c r="E63" i="2"/>
  <c r="F63" i="2" s="1"/>
  <c r="F87" i="2"/>
  <c r="B88" i="2"/>
  <c r="E39" i="2"/>
  <c r="F39" i="2" s="1"/>
  <c r="B17" i="2"/>
  <c r="F16" i="2"/>
  <c r="B40" i="2"/>
  <c r="H40" i="1"/>
  <c r="D40" i="1"/>
  <c r="I65" i="1"/>
  <c r="B66" i="1" s="1"/>
  <c r="E66" i="1" s="1"/>
  <c r="H90" i="1"/>
  <c r="D90" i="1"/>
  <c r="G90" i="1" s="1"/>
  <c r="B17" i="1"/>
  <c r="C17" i="1"/>
  <c r="B88" i="3" l="1"/>
  <c r="D88" i="3" s="1"/>
  <c r="F87" i="3"/>
  <c r="B62" i="3"/>
  <c r="D62" i="3" s="1"/>
  <c r="F61" i="3"/>
  <c r="G39" i="3"/>
  <c r="C40" i="3"/>
  <c r="E40" i="3" s="1"/>
  <c r="B18" i="3"/>
  <c r="D18" i="3" s="1"/>
  <c r="E17" i="3"/>
  <c r="F17" i="3" s="1"/>
  <c r="C88" i="2"/>
  <c r="D88" i="2"/>
  <c r="B64" i="2"/>
  <c r="D64" i="2" s="1"/>
  <c r="C40" i="2"/>
  <c r="D40" i="2"/>
  <c r="C17" i="2"/>
  <c r="D17" i="2"/>
  <c r="G40" i="1"/>
  <c r="I40" i="1" s="1"/>
  <c r="B41" i="1" s="1"/>
  <c r="C66" i="1"/>
  <c r="I90" i="1"/>
  <c r="F17" i="1"/>
  <c r="H17" i="1"/>
  <c r="D17" i="1"/>
  <c r="G17" i="1" s="1"/>
  <c r="E17" i="1"/>
  <c r="C88" i="3" l="1"/>
  <c r="E88" i="3" s="1"/>
  <c r="G87" i="3"/>
  <c r="C62" i="3"/>
  <c r="E62" i="3" s="1"/>
  <c r="G61" i="3"/>
  <c r="B41" i="3"/>
  <c r="D41" i="3" s="1"/>
  <c r="F40" i="3"/>
  <c r="C18" i="3"/>
  <c r="G17" i="3"/>
  <c r="C64" i="2"/>
  <c r="E64" i="2" s="1"/>
  <c r="B65" i="2" s="1"/>
  <c r="E88" i="2"/>
  <c r="B89" i="2" s="1"/>
  <c r="E40" i="2"/>
  <c r="B41" i="2" s="1"/>
  <c r="E17" i="2"/>
  <c r="B18" i="2" s="1"/>
  <c r="F17" i="2"/>
  <c r="E41" i="1"/>
  <c r="C41" i="1"/>
  <c r="H66" i="1"/>
  <c r="F66" i="1"/>
  <c r="D66" i="1"/>
  <c r="C91" i="1"/>
  <c r="F91" i="1" s="1"/>
  <c r="B91" i="1"/>
  <c r="E91" i="1" s="1"/>
  <c r="I17" i="1"/>
  <c r="B18" i="1" s="1"/>
  <c r="B89" i="3" l="1"/>
  <c r="D89" i="3" s="1"/>
  <c r="F88" i="3"/>
  <c r="B63" i="3"/>
  <c r="D63" i="3" s="1"/>
  <c r="F62" i="3"/>
  <c r="C41" i="3"/>
  <c r="E41" i="3" s="1"/>
  <c r="G40" i="3"/>
  <c r="E18" i="3"/>
  <c r="F18" i="3" s="1"/>
  <c r="B19" i="3"/>
  <c r="D19" i="3" s="1"/>
  <c r="C89" i="2"/>
  <c r="D89" i="2"/>
  <c r="F88" i="2"/>
  <c r="C65" i="2"/>
  <c r="D65" i="2"/>
  <c r="F64" i="2"/>
  <c r="F40" i="2"/>
  <c r="C41" i="2"/>
  <c r="D41" i="2"/>
  <c r="C18" i="2"/>
  <c r="D18" i="2"/>
  <c r="E18" i="2" s="1"/>
  <c r="H41" i="1"/>
  <c r="F41" i="1"/>
  <c r="D41" i="1"/>
  <c r="G66" i="1"/>
  <c r="I66" i="1" s="1"/>
  <c r="C67" i="1" s="1"/>
  <c r="F67" i="1" s="1"/>
  <c r="D91" i="1"/>
  <c r="G91" i="1" s="1"/>
  <c r="H91" i="1"/>
  <c r="C18" i="1"/>
  <c r="H18" i="1"/>
  <c r="F18" i="1"/>
  <c r="D18" i="1"/>
  <c r="G18" i="1" s="1"/>
  <c r="E18" i="1"/>
  <c r="C89" i="3" l="1"/>
  <c r="E89" i="3" s="1"/>
  <c r="G88" i="3"/>
  <c r="C63" i="3"/>
  <c r="E63" i="3" s="1"/>
  <c r="G62" i="3"/>
  <c r="F41" i="3"/>
  <c r="B42" i="3"/>
  <c r="D42" i="3" s="1"/>
  <c r="G18" i="3"/>
  <c r="C19" i="3"/>
  <c r="E65" i="2"/>
  <c r="F65" i="2" s="1"/>
  <c r="E89" i="2"/>
  <c r="F89" i="2" s="1"/>
  <c r="B19" i="2"/>
  <c r="F18" i="2"/>
  <c r="E41" i="2"/>
  <c r="F41" i="2" s="1"/>
  <c r="G41" i="1"/>
  <c r="I41" i="1" s="1"/>
  <c r="B67" i="1"/>
  <c r="I91" i="1"/>
  <c r="I18" i="1"/>
  <c r="F89" i="3" l="1"/>
  <c r="B90" i="3"/>
  <c r="D90" i="3" s="1"/>
  <c r="B64" i="3"/>
  <c r="D64" i="3" s="1"/>
  <c r="F63" i="3"/>
  <c r="C42" i="3"/>
  <c r="E42" i="3" s="1"/>
  <c r="G41" i="3"/>
  <c r="E19" i="3"/>
  <c r="B20" i="3"/>
  <c r="D20" i="3" s="1"/>
  <c r="F19" i="3"/>
  <c r="B90" i="2"/>
  <c r="B66" i="2"/>
  <c r="D66" i="2" s="1"/>
  <c r="B42" i="2"/>
  <c r="C19" i="2"/>
  <c r="D19" i="2"/>
  <c r="C42" i="1"/>
  <c r="B42" i="1"/>
  <c r="H67" i="1"/>
  <c r="E67" i="1"/>
  <c r="D67" i="1"/>
  <c r="G67" i="1" s="1"/>
  <c r="C92" i="1"/>
  <c r="F92" i="1" s="1"/>
  <c r="B92" i="1"/>
  <c r="E92" i="1" s="1"/>
  <c r="B19" i="1"/>
  <c r="C19" i="1"/>
  <c r="G89" i="3" l="1"/>
  <c r="C90" i="3"/>
  <c r="E90" i="3" s="1"/>
  <c r="G63" i="3"/>
  <c r="C64" i="3"/>
  <c r="E64" i="3" s="1"/>
  <c r="B43" i="3"/>
  <c r="D43" i="3" s="1"/>
  <c r="F42" i="3"/>
  <c r="G19" i="3"/>
  <c r="C20" i="3"/>
  <c r="C90" i="2"/>
  <c r="E90" i="2" s="1"/>
  <c r="B91" i="2" s="1"/>
  <c r="D90" i="2"/>
  <c r="C66" i="2"/>
  <c r="E66" i="2" s="1"/>
  <c r="C42" i="2"/>
  <c r="D42" i="2"/>
  <c r="E42" i="2" s="1"/>
  <c r="E19" i="2"/>
  <c r="B20" i="2" s="1"/>
  <c r="F19" i="2"/>
  <c r="E42" i="1"/>
  <c r="D42" i="1"/>
  <c r="G42" i="1" s="1"/>
  <c r="F42" i="1"/>
  <c r="H42" i="1"/>
  <c r="I67" i="1"/>
  <c r="D92" i="1"/>
  <c r="G92" i="1" s="1"/>
  <c r="H92" i="1"/>
  <c r="F19" i="1"/>
  <c r="H19" i="1"/>
  <c r="D19" i="1"/>
  <c r="G19" i="1" s="1"/>
  <c r="E19" i="1"/>
  <c r="B91" i="3" l="1"/>
  <c r="D91" i="3" s="1"/>
  <c r="F90" i="3"/>
  <c r="F64" i="3"/>
  <c r="B65" i="3"/>
  <c r="D65" i="3" s="1"/>
  <c r="G42" i="3"/>
  <c r="C43" i="3"/>
  <c r="E43" i="3" s="1"/>
  <c r="B21" i="3"/>
  <c r="D21" i="3" s="1"/>
  <c r="E20" i="3"/>
  <c r="F20" i="3" s="1"/>
  <c r="C91" i="2"/>
  <c r="D91" i="2"/>
  <c r="B67" i="2"/>
  <c r="F66" i="2"/>
  <c r="F42" i="2"/>
  <c r="B43" i="2"/>
  <c r="F90" i="2"/>
  <c r="D20" i="2"/>
  <c r="C20" i="2"/>
  <c r="E20" i="2" s="1"/>
  <c r="I42" i="1"/>
  <c r="C43" i="1" s="1"/>
  <c r="C68" i="1"/>
  <c r="B68" i="1"/>
  <c r="I92" i="1"/>
  <c r="I19" i="1"/>
  <c r="B20" i="1"/>
  <c r="C20" i="1"/>
  <c r="G90" i="3" l="1"/>
  <c r="C91" i="3"/>
  <c r="E91" i="3" s="1"/>
  <c r="G64" i="3"/>
  <c r="C65" i="3"/>
  <c r="E65" i="3" s="1"/>
  <c r="F43" i="3"/>
  <c r="B44" i="3"/>
  <c r="D44" i="3" s="1"/>
  <c r="C21" i="3"/>
  <c r="G20" i="3"/>
  <c r="C67" i="2"/>
  <c r="E67" i="2" s="1"/>
  <c r="D67" i="2"/>
  <c r="C43" i="2"/>
  <c r="D43" i="2"/>
  <c r="E91" i="2"/>
  <c r="F91" i="2" s="1"/>
  <c r="B92" i="2"/>
  <c r="B21" i="2"/>
  <c r="F20" i="2"/>
  <c r="E43" i="2"/>
  <c r="B44" i="2" s="1"/>
  <c r="B43" i="1"/>
  <c r="E43" i="1" s="1"/>
  <c r="F43" i="1"/>
  <c r="H68" i="1"/>
  <c r="F68" i="1"/>
  <c r="D68" i="1"/>
  <c r="G68" i="1" s="1"/>
  <c r="E68" i="1"/>
  <c r="I68" i="1" s="1"/>
  <c r="B93" i="1"/>
  <c r="E93" i="1" s="1"/>
  <c r="C93" i="1"/>
  <c r="F93" i="1" s="1"/>
  <c r="F20" i="1"/>
  <c r="H20" i="1"/>
  <c r="E20" i="1"/>
  <c r="D20" i="1"/>
  <c r="G20" i="1" s="1"/>
  <c r="F91" i="3" l="1"/>
  <c r="B92" i="3"/>
  <c r="D92" i="3" s="1"/>
  <c r="F65" i="3"/>
  <c r="B66" i="3"/>
  <c r="D66" i="3" s="1"/>
  <c r="G43" i="3"/>
  <c r="C44" i="3"/>
  <c r="E44" i="3" s="1"/>
  <c r="E21" i="3"/>
  <c r="F21" i="3" s="1"/>
  <c r="B22" i="3"/>
  <c r="D22" i="3" s="1"/>
  <c r="C92" i="2"/>
  <c r="D92" i="2"/>
  <c r="F67" i="2"/>
  <c r="B68" i="2"/>
  <c r="C44" i="2"/>
  <c r="D44" i="2"/>
  <c r="F43" i="2"/>
  <c r="E92" i="2"/>
  <c r="D21" i="2"/>
  <c r="C21" i="2"/>
  <c r="E21" i="2" s="1"/>
  <c r="H43" i="1"/>
  <c r="D43" i="1"/>
  <c r="G43" i="1" s="1"/>
  <c r="I43" i="1"/>
  <c r="B69" i="1"/>
  <c r="C69" i="1"/>
  <c r="F69" i="1" s="1"/>
  <c r="H93" i="1"/>
  <c r="D93" i="1"/>
  <c r="G93" i="1" s="1"/>
  <c r="I20" i="1"/>
  <c r="B21" i="1"/>
  <c r="C21" i="1"/>
  <c r="G91" i="3" l="1"/>
  <c r="C92" i="3"/>
  <c r="E92" i="3" s="1"/>
  <c r="C66" i="3"/>
  <c r="G65" i="3"/>
  <c r="F44" i="3"/>
  <c r="G44" i="3" s="1"/>
  <c r="G21" i="3"/>
  <c r="C22" i="3"/>
  <c r="E22" i="3" s="1"/>
  <c r="F22" i="3" s="1"/>
  <c r="G22" i="3" s="1"/>
  <c r="C68" i="2"/>
  <c r="D68" i="2"/>
  <c r="E68" i="2" s="1"/>
  <c r="B93" i="2"/>
  <c r="F92" i="2"/>
  <c r="E44" i="2"/>
  <c r="B22" i="2"/>
  <c r="F21" i="2"/>
  <c r="B45" i="2"/>
  <c r="F44" i="2"/>
  <c r="C44" i="1"/>
  <c r="B44" i="1"/>
  <c r="H69" i="1"/>
  <c r="E69" i="1"/>
  <c r="D69" i="1"/>
  <c r="G69" i="1" s="1"/>
  <c r="I93" i="1"/>
  <c r="B94" i="1" s="1"/>
  <c r="E94" i="1" s="1"/>
  <c r="H21" i="1"/>
  <c r="F21" i="1"/>
  <c r="D21" i="1"/>
  <c r="G21" i="1" s="1"/>
  <c r="E21" i="1"/>
  <c r="F92" i="3" l="1"/>
  <c r="B93" i="3"/>
  <c r="D93" i="3" s="1"/>
  <c r="E66" i="3"/>
  <c r="F66" i="3" s="1"/>
  <c r="B67" i="3"/>
  <c r="D67" i="3" s="1"/>
  <c r="C93" i="2"/>
  <c r="D93" i="2"/>
  <c r="B69" i="2"/>
  <c r="F68" i="2"/>
  <c r="C45" i="2"/>
  <c r="D45" i="2"/>
  <c r="E93" i="2"/>
  <c r="D22" i="2"/>
  <c r="C22" i="2"/>
  <c r="E22" i="2" s="1"/>
  <c r="E45" i="2"/>
  <c r="E44" i="1"/>
  <c r="D44" i="1"/>
  <c r="G44" i="1" s="1"/>
  <c r="F44" i="1"/>
  <c r="H44" i="1"/>
  <c r="I69" i="1"/>
  <c r="C94" i="1"/>
  <c r="F94" i="1" s="1"/>
  <c r="I21" i="1"/>
  <c r="B22" i="1"/>
  <c r="C22" i="1"/>
  <c r="C93" i="3" l="1"/>
  <c r="E93" i="3" s="1"/>
  <c r="G92" i="3"/>
  <c r="G66" i="3"/>
  <c r="C67" i="3"/>
  <c r="C69" i="2"/>
  <c r="D69" i="2"/>
  <c r="F93" i="2"/>
  <c r="B94" i="2"/>
  <c r="F22" i="2"/>
  <c r="B23" i="2"/>
  <c r="B46" i="2"/>
  <c r="F45" i="2"/>
  <c r="I44" i="1"/>
  <c r="C70" i="1"/>
  <c r="B70" i="1"/>
  <c r="D94" i="1"/>
  <c r="H94" i="1"/>
  <c r="F22" i="1"/>
  <c r="H22" i="1"/>
  <c r="E22" i="1"/>
  <c r="D22" i="1"/>
  <c r="G22" i="1" s="1"/>
  <c r="B94" i="3" l="1"/>
  <c r="D94" i="3" s="1"/>
  <c r="F93" i="3"/>
  <c r="E67" i="3"/>
  <c r="F67" i="3" s="1"/>
  <c r="B68" i="3"/>
  <c r="D68" i="3" s="1"/>
  <c r="C94" i="2"/>
  <c r="D94" i="2"/>
  <c r="E69" i="2"/>
  <c r="C46" i="2"/>
  <c r="D46" i="2"/>
  <c r="D23" i="2"/>
  <c r="C23" i="2"/>
  <c r="E23" i="2" s="1"/>
  <c r="C45" i="1"/>
  <c r="B45" i="1"/>
  <c r="E70" i="1"/>
  <c r="D70" i="1"/>
  <c r="G70" i="1" s="1"/>
  <c r="F70" i="1"/>
  <c r="H70" i="1"/>
  <c r="G94" i="1"/>
  <c r="I94" i="1" s="1"/>
  <c r="I22" i="1"/>
  <c r="G93" i="3" l="1"/>
  <c r="C94" i="3"/>
  <c r="E94" i="3" s="1"/>
  <c r="C68" i="3"/>
  <c r="G67" i="3"/>
  <c r="E94" i="2"/>
  <c r="B95" i="2" s="1"/>
  <c r="F69" i="2"/>
  <c r="B70" i="2"/>
  <c r="E46" i="2"/>
  <c r="F46" i="2" s="1"/>
  <c r="B24" i="2"/>
  <c r="F23" i="2"/>
  <c r="E45" i="1"/>
  <c r="D45" i="1"/>
  <c r="G45" i="1" s="1"/>
  <c r="F45" i="1"/>
  <c r="H45" i="1"/>
  <c r="I70" i="1"/>
  <c r="C95" i="1"/>
  <c r="F95" i="1" s="1"/>
  <c r="B95" i="1"/>
  <c r="E95" i="1" s="1"/>
  <c r="B23" i="1"/>
  <c r="C23" i="1"/>
  <c r="B95" i="3" l="1"/>
  <c r="D95" i="3" s="1"/>
  <c r="F94" i="3"/>
  <c r="B69" i="3"/>
  <c r="D69" i="3" s="1"/>
  <c r="E68" i="3"/>
  <c r="F68" i="3" s="1"/>
  <c r="C95" i="2"/>
  <c r="D95" i="2"/>
  <c r="F94" i="2"/>
  <c r="C70" i="2"/>
  <c r="D70" i="2"/>
  <c r="E95" i="2"/>
  <c r="F95" i="2" s="1"/>
  <c r="B47" i="2"/>
  <c r="C24" i="2"/>
  <c r="D24" i="2"/>
  <c r="E24" i="2" s="1"/>
  <c r="F24" i="2" s="1"/>
  <c r="I45" i="1"/>
  <c r="B71" i="1"/>
  <c r="C71" i="1"/>
  <c r="D95" i="1"/>
  <c r="G95" i="1" s="1"/>
  <c r="I95" i="1" s="1"/>
  <c r="C96" i="1" s="1"/>
  <c r="F96" i="1" s="1"/>
  <c r="H95" i="1"/>
  <c r="F23" i="1"/>
  <c r="H23" i="1"/>
  <c r="D23" i="1"/>
  <c r="G23" i="1" s="1"/>
  <c r="E23" i="1"/>
  <c r="C95" i="3" l="1"/>
  <c r="E95" i="3" s="1"/>
  <c r="G94" i="3"/>
  <c r="G68" i="3"/>
  <c r="C69" i="3"/>
  <c r="E70" i="2"/>
  <c r="C47" i="2"/>
  <c r="D47" i="2"/>
  <c r="C46" i="1"/>
  <c r="B46" i="1"/>
  <c r="F71" i="1"/>
  <c r="H71" i="1"/>
  <c r="E71" i="1"/>
  <c r="D71" i="1"/>
  <c r="G71" i="1" s="1"/>
  <c r="B96" i="1"/>
  <c r="E96" i="1" s="1"/>
  <c r="D96" i="1"/>
  <c r="G96" i="1" s="1"/>
  <c r="H96" i="1"/>
  <c r="I23" i="1"/>
  <c r="B96" i="3" l="1"/>
  <c r="D96" i="3" s="1"/>
  <c r="F95" i="3"/>
  <c r="E69" i="3"/>
  <c r="F69" i="3" s="1"/>
  <c r="B70" i="3"/>
  <c r="D70" i="3" s="1"/>
  <c r="B71" i="2"/>
  <c r="F70" i="2"/>
  <c r="E47" i="2"/>
  <c r="F47" i="2" s="1"/>
  <c r="E46" i="1"/>
  <c r="D46" i="1"/>
  <c r="G46" i="1" s="1"/>
  <c r="F46" i="1"/>
  <c r="H46" i="1"/>
  <c r="I71" i="1"/>
  <c r="I96" i="1"/>
  <c r="B24" i="1"/>
  <c r="C24" i="1"/>
  <c r="C96" i="3" l="1"/>
  <c r="G95" i="3"/>
  <c r="G69" i="3"/>
  <c r="C70" i="3"/>
  <c r="C71" i="2"/>
  <c r="E71" i="2"/>
  <c r="F71" i="2" s="1"/>
  <c r="I46" i="1"/>
  <c r="C72" i="1"/>
  <c r="B72" i="1"/>
  <c r="C97" i="1"/>
  <c r="F97" i="1" s="1"/>
  <c r="B97" i="1"/>
  <c r="E97" i="1" s="1"/>
  <c r="H24" i="1"/>
  <c r="F24" i="1"/>
  <c r="D24" i="1"/>
  <c r="G24" i="1" s="1"/>
  <c r="E24" i="1"/>
  <c r="E96" i="3" l="1"/>
  <c r="F96" i="3" s="1"/>
  <c r="B97" i="3"/>
  <c r="D97" i="3" s="1"/>
  <c r="E70" i="3"/>
  <c r="F70" i="3" s="1"/>
  <c r="G70" i="3" s="1"/>
  <c r="C47" i="1"/>
  <c r="B47" i="1"/>
  <c r="E72" i="1"/>
  <c r="D72" i="1"/>
  <c r="G72" i="1" s="1"/>
  <c r="F72" i="1"/>
  <c r="H72" i="1"/>
  <c r="D97" i="1"/>
  <c r="G97" i="1" s="1"/>
  <c r="H97" i="1"/>
  <c r="I24" i="1"/>
  <c r="G96" i="3" l="1"/>
  <c r="C97" i="3"/>
  <c r="E47" i="1"/>
  <c r="D47" i="1"/>
  <c r="G47" i="1" s="1"/>
  <c r="F47" i="1"/>
  <c r="H47" i="1"/>
  <c r="I72" i="1"/>
  <c r="I97" i="1"/>
  <c r="B25" i="1"/>
  <c r="C25" i="1"/>
  <c r="E97" i="3" l="1"/>
  <c r="F97" i="3" s="1"/>
  <c r="B98" i="3"/>
  <c r="D98" i="3" s="1"/>
  <c r="I47" i="1"/>
  <c r="C73" i="1"/>
  <c r="B73" i="1"/>
  <c r="C98" i="1"/>
  <c r="F98" i="1" s="1"/>
  <c r="B98" i="1"/>
  <c r="E98" i="1" s="1"/>
  <c r="F25" i="1"/>
  <c r="H25" i="1"/>
  <c r="E25" i="1"/>
  <c r="D25" i="1"/>
  <c r="G25" i="1" s="1"/>
  <c r="G97" i="3" l="1"/>
  <c r="C98" i="3"/>
  <c r="B48" i="1"/>
  <c r="C48" i="1"/>
  <c r="E73" i="1"/>
  <c r="D73" i="1"/>
  <c r="G73" i="1" s="1"/>
  <c r="F73" i="1"/>
  <c r="H73" i="1"/>
  <c r="D98" i="1"/>
  <c r="G98" i="1" s="1"/>
  <c r="H98" i="1"/>
  <c r="I25" i="1"/>
  <c r="B99" i="3" l="1"/>
  <c r="D99" i="3" s="1"/>
  <c r="E98" i="3"/>
  <c r="F98" i="3" s="1"/>
  <c r="F48" i="1"/>
  <c r="H48" i="1"/>
  <c r="E48" i="1"/>
  <c r="D48" i="1"/>
  <c r="G48" i="1" s="1"/>
  <c r="I73" i="1"/>
  <c r="I98" i="1"/>
  <c r="G98" i="3" l="1"/>
  <c r="C99" i="3"/>
  <c r="I48" i="1"/>
  <c r="C74" i="1"/>
  <c r="B74" i="1"/>
  <c r="C99" i="1"/>
  <c r="F99" i="1" s="1"/>
  <c r="B99" i="1"/>
  <c r="E99" i="1" s="1"/>
  <c r="E99" i="3" l="1"/>
  <c r="F99" i="3" s="1"/>
  <c r="B100" i="3"/>
  <c r="D100" i="3" s="1"/>
  <c r="C49" i="1"/>
  <c r="B49" i="1"/>
  <c r="E74" i="1"/>
  <c r="D74" i="1"/>
  <c r="G74" i="1" s="1"/>
  <c r="F74" i="1"/>
  <c r="H74" i="1"/>
  <c r="D99" i="1"/>
  <c r="G99" i="1" s="1"/>
  <c r="H99" i="1"/>
  <c r="G99" i="3" l="1"/>
  <c r="C100" i="3"/>
  <c r="E49" i="1"/>
  <c r="D49" i="1"/>
  <c r="G49" i="1" s="1"/>
  <c r="F49" i="1"/>
  <c r="H49" i="1"/>
  <c r="I74" i="1"/>
  <c r="I99" i="1"/>
  <c r="B101" i="3" l="1"/>
  <c r="D101" i="3" s="1"/>
  <c r="E100" i="3"/>
  <c r="F100" i="3" s="1"/>
  <c r="I49" i="1"/>
  <c r="G100" i="3" l="1"/>
  <c r="C101" i="3"/>
  <c r="E101" i="3" l="1"/>
  <c r="F101" i="3"/>
  <c r="B102" i="3"/>
  <c r="D102" i="3" s="1"/>
  <c r="C102" i="3" l="1"/>
  <c r="G101" i="3"/>
  <c r="B103" i="3" l="1"/>
  <c r="D103" i="3" s="1"/>
  <c r="E102" i="3"/>
  <c r="F102" i="3" s="1"/>
  <c r="C103" i="3" l="1"/>
  <c r="G102" i="3"/>
  <c r="B104" i="3" l="1"/>
  <c r="D104" i="3" s="1"/>
  <c r="E103" i="3"/>
  <c r="F103" i="3" s="1"/>
  <c r="G103" i="3" l="1"/>
  <c r="C104" i="3"/>
  <c r="E104" i="3" l="1"/>
  <c r="F104" i="3"/>
  <c r="G104" i="3" s="1"/>
</calcChain>
</file>

<file path=xl/sharedStrings.xml><?xml version="1.0" encoding="utf-8"?>
<sst xmlns="http://schemas.openxmlformats.org/spreadsheetml/2006/main" count="172" uniqueCount="33">
  <si>
    <t>Ecuacion</t>
  </si>
  <si>
    <t>Metodo</t>
  </si>
  <si>
    <t>Tolerancia</t>
  </si>
  <si>
    <t>a inicial</t>
  </si>
  <si>
    <t>b Final</t>
  </si>
  <si>
    <t>x^3- e^(0.8x) = 20</t>
  </si>
  <si>
    <t>Bisección</t>
  </si>
  <si>
    <t>Iteracion</t>
  </si>
  <si>
    <t>a</t>
  </si>
  <si>
    <t>b</t>
  </si>
  <si>
    <t>f(a)</t>
  </si>
  <si>
    <t>f(b)</t>
  </si>
  <si>
    <t xml:space="preserve">f(c) </t>
  </si>
  <si>
    <t>Error</t>
  </si>
  <si>
    <t>Signo f(a)*f(b)</t>
  </si>
  <si>
    <t>c (punto medio)</t>
  </si>
  <si>
    <t>Iteración</t>
  </si>
  <si>
    <t>Xn</t>
  </si>
  <si>
    <t>f(Xn)</t>
  </si>
  <si>
    <t>f'(Xn)</t>
  </si>
  <si>
    <t>Xn+1</t>
  </si>
  <si>
    <t>cos^2(x)-0.5xe^0.3x+5 =0</t>
  </si>
  <si>
    <t>x^3-x^2e^-0.5x -3x = -1</t>
  </si>
  <si>
    <t>3sin(0.5x)-0.5x+2=0</t>
  </si>
  <si>
    <t>x0 inicial</t>
  </si>
  <si>
    <t>Newton-Raphson</t>
  </si>
  <si>
    <t>Raiz Aprox.</t>
  </si>
  <si>
    <t>x0</t>
  </si>
  <si>
    <t>x1</t>
  </si>
  <si>
    <t>f(x0)</t>
  </si>
  <si>
    <t>f(x1)</t>
  </si>
  <si>
    <t>x2</t>
  </si>
  <si>
    <t>Secante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</si>
</sst>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152400</xdr:rowOff>
    </xdr:from>
    <xdr:to>
      <xdr:col>8</xdr:col>
      <xdr:colOff>495300</xdr:colOff>
      <xdr:row>4</xdr:row>
      <xdr:rowOff>123658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2ECA6D-0A25-4A13-F17C-2BF50AB02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52400"/>
          <a:ext cx="6886575" cy="733258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26</xdr:row>
      <xdr:rowOff>85725</xdr:rowOff>
    </xdr:from>
    <xdr:to>
      <xdr:col>8</xdr:col>
      <xdr:colOff>1029732</xdr:colOff>
      <xdr:row>29</xdr:row>
      <xdr:rowOff>47699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9B4BF0-2D41-AB25-C785-EAE2B7E2A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5038725"/>
          <a:ext cx="7392432" cy="53347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50</xdr:row>
      <xdr:rowOff>9525</xdr:rowOff>
    </xdr:from>
    <xdr:to>
      <xdr:col>8</xdr:col>
      <xdr:colOff>1029724</xdr:colOff>
      <xdr:row>53</xdr:row>
      <xdr:rowOff>76289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691690-38F5-509C-A4F0-7A355AC09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9534525"/>
          <a:ext cx="7335274" cy="6382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9</xdr:col>
      <xdr:colOff>248749</xdr:colOff>
      <xdr:row>78</xdr:row>
      <xdr:rowOff>123895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A937BF-DB9D-F49E-8BBA-EF96BFBC4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478000"/>
          <a:ext cx="7878274" cy="5048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0</xdr:rowOff>
    </xdr:from>
    <xdr:to>
      <xdr:col>9</xdr:col>
      <xdr:colOff>9525</xdr:colOff>
      <xdr:row>4</xdr:row>
      <xdr:rowOff>161758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D496D4-F04A-4445-88E9-2BB1EC3DB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90500"/>
          <a:ext cx="6886575" cy="73325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25</xdr:row>
      <xdr:rowOff>66675</xdr:rowOff>
    </xdr:from>
    <xdr:to>
      <xdr:col>9</xdr:col>
      <xdr:colOff>686832</xdr:colOff>
      <xdr:row>28</xdr:row>
      <xdr:rowOff>28649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0C35E8-A105-4AA5-87D7-BB399B494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4829175"/>
          <a:ext cx="7392432" cy="533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48</xdr:row>
      <xdr:rowOff>28575</xdr:rowOff>
    </xdr:from>
    <xdr:to>
      <xdr:col>9</xdr:col>
      <xdr:colOff>553474</xdr:colOff>
      <xdr:row>51</xdr:row>
      <xdr:rowOff>95339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1A235F-CE59-41BB-AC01-13CD6CA5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9172575"/>
          <a:ext cx="7335274" cy="63826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72</xdr:row>
      <xdr:rowOff>85725</xdr:rowOff>
    </xdr:from>
    <xdr:to>
      <xdr:col>10</xdr:col>
      <xdr:colOff>334474</xdr:colOff>
      <xdr:row>75</xdr:row>
      <xdr:rowOff>19120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BF931F-B1CF-4EF8-8228-E3FE288F5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3801725"/>
          <a:ext cx="7878274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123825</xdr:rowOff>
    </xdr:from>
    <xdr:to>
      <xdr:col>8</xdr:col>
      <xdr:colOff>619125</xdr:colOff>
      <xdr:row>4</xdr:row>
      <xdr:rowOff>95083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AAC2A1-D659-4893-A466-2F54AAE4D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23825"/>
          <a:ext cx="6886575" cy="733258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23</xdr:row>
      <xdr:rowOff>76200</xdr:rowOff>
    </xdr:from>
    <xdr:to>
      <xdr:col>9</xdr:col>
      <xdr:colOff>496332</xdr:colOff>
      <xdr:row>26</xdr:row>
      <xdr:rowOff>38174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9B039B-1299-4A6B-A860-078335E2A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4457700"/>
          <a:ext cx="7392432" cy="533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45</xdr:row>
      <xdr:rowOff>19050</xdr:rowOff>
    </xdr:from>
    <xdr:to>
      <xdr:col>9</xdr:col>
      <xdr:colOff>382024</xdr:colOff>
      <xdr:row>48</xdr:row>
      <xdr:rowOff>85814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3C2E81-6DBA-4DCB-A53A-554252BD5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8591550"/>
          <a:ext cx="7335274" cy="63826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72</xdr:row>
      <xdr:rowOff>0</xdr:rowOff>
    </xdr:from>
    <xdr:to>
      <xdr:col>10</xdr:col>
      <xdr:colOff>191599</xdr:colOff>
      <xdr:row>74</xdr:row>
      <xdr:rowOff>123895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BAC93C-597B-40B0-BA05-336558DE5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13716000"/>
          <a:ext cx="7878274" cy="504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1E65-37D9-4A64-BBDA-77AA89415B4D}">
  <dimension ref="A7:I99"/>
  <sheetViews>
    <sheetView topLeftCell="A19" workbookViewId="0">
      <selection activeCell="B31" sqref="B31:C31"/>
    </sheetView>
  </sheetViews>
  <sheetFormatPr baseColWidth="10" defaultRowHeight="15" x14ac:dyDescent="0.25"/>
  <cols>
    <col min="4" max="4" width="17.140625" customWidth="1"/>
    <col min="7" max="7" width="12.85546875" customWidth="1"/>
    <col min="9" max="9" width="15.85546875" customWidth="1"/>
  </cols>
  <sheetData>
    <row r="7" spans="1:9" x14ac:dyDescent="0.25">
      <c r="A7" s="4" t="s">
        <v>0</v>
      </c>
      <c r="B7" s="3" t="s">
        <v>5</v>
      </c>
      <c r="C7" s="3"/>
      <c r="E7" s="4" t="s">
        <v>26</v>
      </c>
      <c r="F7" s="1">
        <f>D25</f>
        <v>3.208984375</v>
      </c>
    </row>
    <row r="8" spans="1:9" x14ac:dyDescent="0.25">
      <c r="A8" s="4" t="s">
        <v>1</v>
      </c>
      <c r="B8" s="3" t="s">
        <v>6</v>
      </c>
      <c r="C8" s="3"/>
    </row>
    <row r="9" spans="1:9" x14ac:dyDescent="0.25">
      <c r="A9" s="4" t="s">
        <v>2</v>
      </c>
      <c r="B9" s="3">
        <v>1E-4</v>
      </c>
      <c r="C9" s="3"/>
    </row>
    <row r="10" spans="1:9" x14ac:dyDescent="0.25">
      <c r="A10" s="4" t="s">
        <v>3</v>
      </c>
      <c r="B10" s="3">
        <v>0</v>
      </c>
      <c r="C10" s="3"/>
    </row>
    <row r="11" spans="1:9" x14ac:dyDescent="0.25">
      <c r="A11" s="4" t="s">
        <v>4</v>
      </c>
      <c r="B11" s="3">
        <v>8</v>
      </c>
      <c r="C11" s="3"/>
    </row>
    <row r="13" spans="1:9" x14ac:dyDescent="0.25">
      <c r="A13" s="2" t="s">
        <v>7</v>
      </c>
      <c r="B13" s="2" t="s">
        <v>8</v>
      </c>
      <c r="C13" s="2" t="s">
        <v>9</v>
      </c>
      <c r="D13" s="2" t="s">
        <v>15</v>
      </c>
      <c r="E13" s="2" t="s">
        <v>10</v>
      </c>
      <c r="F13" s="2" t="s">
        <v>11</v>
      </c>
      <c r="G13" s="2" t="s">
        <v>12</v>
      </c>
      <c r="H13" s="2" t="s">
        <v>13</v>
      </c>
      <c r="I13" s="2" t="s">
        <v>14</v>
      </c>
    </row>
    <row r="14" spans="1:9" x14ac:dyDescent="0.25">
      <c r="A14" s="1">
        <v>1</v>
      </c>
      <c r="B14" s="1">
        <f>$B$10</f>
        <v>0</v>
      </c>
      <c r="C14" s="1">
        <f>$B$11</f>
        <v>8</v>
      </c>
      <c r="D14" s="1">
        <f>(B14+C14)/2</f>
        <v>4</v>
      </c>
      <c r="E14" s="1">
        <f>B14^3-EXP(0.8*B14)-20</f>
        <v>-21</v>
      </c>
      <c r="F14" s="1">
        <f t="shared" ref="F14:G14" si="0">C14^3-EXP(0.8*C14)-20</f>
        <v>-109.84503787208223</v>
      </c>
      <c r="G14" s="1">
        <f t="shared" si="0"/>
        <v>19.467469802890648</v>
      </c>
      <c r="H14" s="1">
        <f>ABS(C14-B14)/2</f>
        <v>4</v>
      </c>
      <c r="I14" s="1">
        <f>E14*G14</f>
        <v>-408.81686586070361</v>
      </c>
    </row>
    <row r="15" spans="1:9" x14ac:dyDescent="0.25">
      <c r="A15" s="1">
        <v>2</v>
      </c>
      <c r="B15" s="1">
        <f>IF(I14&lt;0,B14, D14)</f>
        <v>0</v>
      </c>
      <c r="C15" s="1">
        <f>IF(I14&lt;0,D14, C14)</f>
        <v>4</v>
      </c>
      <c r="D15" s="1">
        <f>(B15+C15)/2</f>
        <v>2</v>
      </c>
      <c r="E15" s="1">
        <f>B15^3-EXP(0.8*B15)-20</f>
        <v>-21</v>
      </c>
      <c r="F15" s="1">
        <f t="shared" ref="F15" si="1">C15^3-EXP(0.8*C15)-20</f>
        <v>19.467469802890648</v>
      </c>
      <c r="G15" s="1">
        <f t="shared" ref="G15" si="2">D15^3-EXP(0.8*D15)-20</f>
        <v>-16.953032424395115</v>
      </c>
      <c r="H15" s="1">
        <f>ABS(C15-B15)/2</f>
        <v>2</v>
      </c>
      <c r="I15" s="1">
        <f>E15*G15</f>
        <v>356.01368091229739</v>
      </c>
    </row>
    <row r="16" spans="1:9" x14ac:dyDescent="0.25">
      <c r="A16" s="1">
        <v>3</v>
      </c>
      <c r="B16" s="1">
        <f t="shared" ref="B16:B24" si="3">IF(I15&lt;0,B15, D15)</f>
        <v>2</v>
      </c>
      <c r="C16" s="1">
        <f t="shared" ref="C16:C24" si="4">IF(I15&lt;0,D15, C15)</f>
        <v>4</v>
      </c>
      <c r="D16" s="1">
        <f t="shared" ref="D16:D24" si="5">(B16+C16)/2</f>
        <v>3</v>
      </c>
      <c r="E16" s="1">
        <f t="shared" ref="E16:E24" si="6">B16^3-EXP(0.8*B16)-20</f>
        <v>-16.953032424395115</v>
      </c>
      <c r="F16" s="1">
        <f t="shared" ref="F16:F24" si="7">C16^3-EXP(0.8*C16)-20</f>
        <v>19.467469802890648</v>
      </c>
      <c r="G16" s="1">
        <f t="shared" ref="G16:G24" si="8">D16^3-EXP(0.8*D16)-20</f>
        <v>-4.0231763806416048</v>
      </c>
      <c r="H16" s="1">
        <f t="shared" ref="H16:H24" si="9">ABS(C16-B16)/2</f>
        <v>1</v>
      </c>
      <c r="I16" s="1">
        <f t="shared" ref="I16:I24" si="10">E16*G16</f>
        <v>68.205039630077707</v>
      </c>
    </row>
    <row r="17" spans="1:9" x14ac:dyDescent="0.25">
      <c r="A17" s="1">
        <v>4</v>
      </c>
      <c r="B17" s="1">
        <f t="shared" si="3"/>
        <v>3</v>
      </c>
      <c r="C17" s="1">
        <f t="shared" si="4"/>
        <v>4</v>
      </c>
      <c r="D17" s="1">
        <f t="shared" si="5"/>
        <v>3.5</v>
      </c>
      <c r="E17" s="1">
        <f t="shared" si="6"/>
        <v>-4.0231763806416048</v>
      </c>
      <c r="F17" s="1">
        <f t="shared" si="7"/>
        <v>19.467469802890648</v>
      </c>
      <c r="G17" s="1">
        <f t="shared" si="8"/>
        <v>6.4303532289029448</v>
      </c>
      <c r="H17" s="1">
        <f t="shared" si="9"/>
        <v>0.5</v>
      </c>
      <c r="I17" s="1">
        <f t="shared" si="10"/>
        <v>-25.870445229704806</v>
      </c>
    </row>
    <row r="18" spans="1:9" x14ac:dyDescent="0.25">
      <c r="A18" s="1">
        <v>5</v>
      </c>
      <c r="B18" s="1">
        <f t="shared" si="3"/>
        <v>3</v>
      </c>
      <c r="C18" s="1">
        <f t="shared" si="4"/>
        <v>3.5</v>
      </c>
      <c r="D18" s="1">
        <f t="shared" si="5"/>
        <v>3.25</v>
      </c>
      <c r="E18" s="1">
        <f t="shared" si="6"/>
        <v>-4.0231763806416048</v>
      </c>
      <c r="F18" s="1">
        <f t="shared" si="7"/>
        <v>6.4303532289029448</v>
      </c>
      <c r="G18" s="1">
        <f t="shared" si="8"/>
        <v>0.86438696499831025</v>
      </c>
      <c r="H18" s="1">
        <f t="shared" si="9"/>
        <v>0.25</v>
      </c>
      <c r="I18" s="1">
        <f t="shared" si="10"/>
        <v>-3.4775812213156834</v>
      </c>
    </row>
    <row r="19" spans="1:9" x14ac:dyDescent="0.25">
      <c r="A19" s="1">
        <v>6</v>
      </c>
      <c r="B19" s="1">
        <f t="shared" si="3"/>
        <v>3</v>
      </c>
      <c r="C19" s="1">
        <f t="shared" si="4"/>
        <v>3.25</v>
      </c>
      <c r="D19" s="1">
        <f t="shared" si="5"/>
        <v>3.125</v>
      </c>
      <c r="E19" s="1">
        <f t="shared" si="6"/>
        <v>-4.0231763806416048</v>
      </c>
      <c r="F19" s="1">
        <f t="shared" si="7"/>
        <v>0.86438696499831025</v>
      </c>
      <c r="G19" s="1">
        <f t="shared" si="8"/>
        <v>-1.664915835703475</v>
      </c>
      <c r="H19" s="1">
        <f t="shared" si="9"/>
        <v>0.125</v>
      </c>
      <c r="I19" s="1">
        <f t="shared" si="10"/>
        <v>6.6982500659583994</v>
      </c>
    </row>
    <row r="20" spans="1:9" x14ac:dyDescent="0.25">
      <c r="A20" s="1">
        <v>7</v>
      </c>
      <c r="B20" s="1">
        <f t="shared" si="3"/>
        <v>3.125</v>
      </c>
      <c r="C20" s="1">
        <f t="shared" si="4"/>
        <v>3.25</v>
      </c>
      <c r="D20" s="1">
        <f t="shared" si="5"/>
        <v>3.1875</v>
      </c>
      <c r="E20" s="1">
        <f t="shared" si="6"/>
        <v>-1.664915835703475</v>
      </c>
      <c r="F20" s="1">
        <f t="shared" si="7"/>
        <v>0.86438696499831025</v>
      </c>
      <c r="G20" s="1">
        <f t="shared" si="8"/>
        <v>-0.42160573578803451</v>
      </c>
      <c r="H20" s="1">
        <f t="shared" si="9"/>
        <v>6.25E-2</v>
      </c>
      <c r="I20" s="1">
        <f t="shared" si="10"/>
        <v>0.70193806593691399</v>
      </c>
    </row>
    <row r="21" spans="1:9" x14ac:dyDescent="0.25">
      <c r="A21" s="1">
        <v>8</v>
      </c>
      <c r="B21" s="1">
        <f t="shared" si="3"/>
        <v>3.1875</v>
      </c>
      <c r="C21" s="1">
        <f t="shared" si="4"/>
        <v>3.25</v>
      </c>
      <c r="D21" s="1">
        <f t="shared" si="5"/>
        <v>3.21875</v>
      </c>
      <c r="E21" s="1">
        <f t="shared" si="6"/>
        <v>-0.42160573578803451</v>
      </c>
      <c r="F21" s="1">
        <f t="shared" si="7"/>
        <v>0.86438696499831025</v>
      </c>
      <c r="G21" s="1">
        <f t="shared" si="8"/>
        <v>0.21606443330685821</v>
      </c>
      <c r="H21" s="1">
        <f t="shared" si="9"/>
        <v>3.125E-2</v>
      </c>
      <c r="I21" s="1">
        <f t="shared" si="10"/>
        <v>-9.1094004381962662E-2</v>
      </c>
    </row>
    <row r="22" spans="1:9" x14ac:dyDescent="0.25">
      <c r="A22" s="1">
        <v>9</v>
      </c>
      <c r="B22" s="1">
        <f t="shared" si="3"/>
        <v>3.1875</v>
      </c>
      <c r="C22" s="1">
        <f t="shared" si="4"/>
        <v>3.21875</v>
      </c>
      <c r="D22" s="1">
        <f t="shared" si="5"/>
        <v>3.203125</v>
      </c>
      <c r="E22" s="1">
        <f t="shared" si="6"/>
        <v>-0.42160573578803451</v>
      </c>
      <c r="F22" s="1">
        <f t="shared" si="7"/>
        <v>0.21606443330685821</v>
      </c>
      <c r="G22" s="1">
        <f t="shared" si="8"/>
        <v>-0.10410353645155368</v>
      </c>
      <c r="H22" s="1">
        <f t="shared" si="9"/>
        <v>1.5625E-2</v>
      </c>
      <c r="I22" s="1">
        <f t="shared" si="10"/>
        <v>4.3890648083793761E-2</v>
      </c>
    </row>
    <row r="23" spans="1:9" x14ac:dyDescent="0.25">
      <c r="A23" s="1">
        <v>10</v>
      </c>
      <c r="B23" s="1">
        <f t="shared" si="3"/>
        <v>3.203125</v>
      </c>
      <c r="C23" s="1">
        <f t="shared" si="4"/>
        <v>3.21875</v>
      </c>
      <c r="D23" s="1">
        <f t="shared" si="5"/>
        <v>3.2109375</v>
      </c>
      <c r="E23" s="1">
        <f t="shared" si="6"/>
        <v>-0.10410353645155368</v>
      </c>
      <c r="F23" s="1">
        <f t="shared" si="7"/>
        <v>0.21606443330685821</v>
      </c>
      <c r="G23" s="1">
        <f t="shared" si="8"/>
        <v>5.5647382134296208E-2</v>
      </c>
      <c r="H23" s="1">
        <f t="shared" si="9"/>
        <v>7.8125E-3</v>
      </c>
      <c r="I23" s="1">
        <f t="shared" si="10"/>
        <v>-5.7930892744512425E-3</v>
      </c>
    </row>
    <row r="24" spans="1:9" x14ac:dyDescent="0.25">
      <c r="A24" s="1">
        <v>11</v>
      </c>
      <c r="B24" s="1">
        <f t="shared" si="3"/>
        <v>3.203125</v>
      </c>
      <c r="C24" s="1">
        <f t="shared" si="4"/>
        <v>3.2109375</v>
      </c>
      <c r="D24" s="1">
        <f t="shared" si="5"/>
        <v>3.20703125</v>
      </c>
      <c r="E24" s="1">
        <f t="shared" si="6"/>
        <v>-0.10410353645155368</v>
      </c>
      <c r="F24" s="1">
        <f t="shared" si="7"/>
        <v>5.5647382134296208E-2</v>
      </c>
      <c r="G24" s="1">
        <f t="shared" si="8"/>
        <v>-2.4311363882567605E-2</v>
      </c>
      <c r="H24" s="1">
        <f t="shared" si="9"/>
        <v>3.90625E-3</v>
      </c>
      <c r="I24" s="1">
        <f t="shared" si="10"/>
        <v>2.5308989561358621E-3</v>
      </c>
    </row>
    <row r="25" spans="1:9" x14ac:dyDescent="0.25">
      <c r="A25" s="1">
        <v>12</v>
      </c>
      <c r="B25" s="1">
        <f t="shared" ref="B25" si="11">IF(I24&lt;0,B24, D24)</f>
        <v>3.20703125</v>
      </c>
      <c r="C25" s="1">
        <f t="shared" ref="C25" si="12">IF(I24&lt;0,D24, C24)</f>
        <v>3.2109375</v>
      </c>
      <c r="D25" s="1">
        <f t="shared" ref="D25" si="13">(B25+C25)/2</f>
        <v>3.208984375</v>
      </c>
      <c r="E25" s="1">
        <f t="shared" ref="E25" si="14">B25^3-EXP(0.8*B25)-20</f>
        <v>-2.4311363882567605E-2</v>
      </c>
      <c r="F25" s="1">
        <f t="shared" ref="F25" si="15">C25^3-EXP(0.8*C25)-20</f>
        <v>5.5647382134296208E-2</v>
      </c>
      <c r="G25" s="1">
        <f t="shared" ref="G25" si="16">D25^3-EXP(0.8*D25)-20</f>
        <v>1.5647189915139137E-2</v>
      </c>
      <c r="H25" s="1">
        <f t="shared" ref="H25" si="17">ABS(C25-B25)/2</f>
        <v>1.953125E-3</v>
      </c>
      <c r="I25" s="1">
        <f t="shared" ref="I25" si="18">E25*G25</f>
        <v>-3.8040452776658969E-4</v>
      </c>
    </row>
    <row r="31" spans="1:9" x14ac:dyDescent="0.25">
      <c r="A31" s="4" t="s">
        <v>0</v>
      </c>
      <c r="B31" s="3" t="s">
        <v>23</v>
      </c>
      <c r="C31" s="3"/>
      <c r="E31" s="4" t="s">
        <v>26</v>
      </c>
      <c r="F31" s="1">
        <f>D49</f>
        <v>5.706787109375</v>
      </c>
    </row>
    <row r="32" spans="1:9" x14ac:dyDescent="0.25">
      <c r="A32" s="4" t="s">
        <v>1</v>
      </c>
      <c r="B32" s="3" t="s">
        <v>6</v>
      </c>
      <c r="C32" s="3"/>
    </row>
    <row r="33" spans="1:9" x14ac:dyDescent="0.25">
      <c r="A33" s="4" t="s">
        <v>2</v>
      </c>
      <c r="B33" s="3">
        <v>1E-4</v>
      </c>
      <c r="C33" s="3"/>
    </row>
    <row r="34" spans="1:9" x14ac:dyDescent="0.25">
      <c r="A34" s="4" t="s">
        <v>3</v>
      </c>
      <c r="B34" s="3">
        <v>5</v>
      </c>
      <c r="C34" s="3"/>
    </row>
    <row r="35" spans="1:9" x14ac:dyDescent="0.25">
      <c r="A35" s="4" t="s">
        <v>4</v>
      </c>
      <c r="B35" s="3">
        <v>8</v>
      </c>
      <c r="C35" s="3"/>
    </row>
    <row r="37" spans="1:9" x14ac:dyDescent="0.25">
      <c r="A37" s="2" t="s">
        <v>7</v>
      </c>
      <c r="B37" s="2" t="s">
        <v>8</v>
      </c>
      <c r="C37" s="2" t="s">
        <v>9</v>
      </c>
      <c r="D37" s="2" t="s">
        <v>15</v>
      </c>
      <c r="E37" s="2" t="s">
        <v>10</v>
      </c>
      <c r="F37" s="2" t="s">
        <v>11</v>
      </c>
      <c r="G37" s="2" t="s">
        <v>12</v>
      </c>
      <c r="H37" s="2" t="s">
        <v>13</v>
      </c>
      <c r="I37" s="2" t="s">
        <v>14</v>
      </c>
    </row>
    <row r="38" spans="1:9" x14ac:dyDescent="0.25">
      <c r="A38" s="1">
        <v>1</v>
      </c>
      <c r="B38" s="1">
        <f>$B$34</f>
        <v>5</v>
      </c>
      <c r="C38" s="1">
        <f>$B$35</f>
        <v>8</v>
      </c>
      <c r="D38" s="1">
        <f>(B38+C38)/2</f>
        <v>6.5</v>
      </c>
      <c r="E38" s="1">
        <f>3*SIN(0.5*B38)-0.5*B38+2</f>
        <v>1.2954164323118698</v>
      </c>
      <c r="F38" s="1">
        <f>3*SIN(0.5*C38)-0.5*C38+2</f>
        <v>-4.2704074859237844</v>
      </c>
      <c r="G38" s="1">
        <f>3*SIN(0.5*D38)-0.5*D38+2</f>
        <v>-1.5745854035903251</v>
      </c>
      <c r="H38" s="1">
        <f>ABS(C38-B38)/2</f>
        <v>1.5</v>
      </c>
      <c r="I38" s="1">
        <f>E38*G38</f>
        <v>-2.0397438058893242</v>
      </c>
    </row>
    <row r="39" spans="1:9" x14ac:dyDescent="0.25">
      <c r="A39" s="1">
        <v>2</v>
      </c>
      <c r="B39" s="1">
        <f>IF(I38&lt;0,B38, D38)</f>
        <v>5</v>
      </c>
      <c r="C39" s="1">
        <f>IF(I38&lt;0,D38, C38)</f>
        <v>6.5</v>
      </c>
      <c r="D39" s="1">
        <f>(B39+C39)/2</f>
        <v>5.75</v>
      </c>
      <c r="E39" s="1">
        <f>3*SIN(0.5*B39)-0.5*B39+2</f>
        <v>1.2954164323118698</v>
      </c>
      <c r="F39" s="1">
        <f>3*SIN(0.5*C39)-0.5*C39+2</f>
        <v>-1.5745854035903251</v>
      </c>
      <c r="G39" s="1">
        <f>3*SIN(0.5*D39)-0.5*D39+2</f>
        <v>-8.4662019909737651E-2</v>
      </c>
      <c r="H39" s="1">
        <f>ABS(C39-B39)/2</f>
        <v>0.75</v>
      </c>
      <c r="I39" s="1">
        <f>E39*G39</f>
        <v>-0.10967257178378884</v>
      </c>
    </row>
    <row r="40" spans="1:9" x14ac:dyDescent="0.25">
      <c r="A40" s="1">
        <v>3</v>
      </c>
      <c r="B40" s="1">
        <f t="shared" ref="B40:B49" si="19">IF(I39&lt;0,B39, D39)</f>
        <v>5</v>
      </c>
      <c r="C40" s="1">
        <f t="shared" ref="C40:C49" si="20">IF(I39&lt;0,D39, C39)</f>
        <v>5.75</v>
      </c>
      <c r="D40" s="1">
        <f t="shared" ref="D40:D49" si="21">(B40+C40)/2</f>
        <v>5.375</v>
      </c>
      <c r="E40" s="1">
        <f>3*SIN(0.5*B40)-0.5*B40+2</f>
        <v>1.2954164323118698</v>
      </c>
      <c r="F40" s="1">
        <f t="shared" ref="F39:F49" si="22">3*SIN(0.5*C40)-0.5*C40+2</f>
        <v>-8.4662019909737651E-2</v>
      </c>
      <c r="G40" s="1">
        <f t="shared" ref="G39:G49" si="23">3*SIN(0.5*D40)-0.5*D40+2</f>
        <v>0.62844129729589926</v>
      </c>
      <c r="H40" s="1">
        <f t="shared" ref="H40:H49" si="24">ABS(C40-B40)/2</f>
        <v>0.375</v>
      </c>
      <c r="I40" s="1">
        <f t="shared" ref="I40:I49" si="25">E40*G40</f>
        <v>0.81409318326049696</v>
      </c>
    </row>
    <row r="41" spans="1:9" x14ac:dyDescent="0.25">
      <c r="A41" s="1">
        <v>4</v>
      </c>
      <c r="B41" s="1">
        <f>IF(I40&lt;0,B40, D40)</f>
        <v>5.375</v>
      </c>
      <c r="C41" s="1">
        <f t="shared" si="20"/>
        <v>5.75</v>
      </c>
      <c r="D41" s="1">
        <f t="shared" si="21"/>
        <v>5.5625</v>
      </c>
      <c r="E41" s="1">
        <f t="shared" ref="E39:E49" si="26">3*SIN(0.5*B41)-0.5*B41+2</f>
        <v>0.62844129729589926</v>
      </c>
      <c r="F41" s="1">
        <f t="shared" si="22"/>
        <v>-8.4662019909737651E-2</v>
      </c>
      <c r="G41" s="1">
        <f t="shared" si="23"/>
        <v>0.27653470298381233</v>
      </c>
      <c r="H41" s="1">
        <f t="shared" si="24"/>
        <v>0.1875</v>
      </c>
      <c r="I41" s="1">
        <f t="shared" si="25"/>
        <v>0.17378582749048321</v>
      </c>
    </row>
    <row r="42" spans="1:9" x14ac:dyDescent="0.25">
      <c r="A42" s="1">
        <v>5</v>
      </c>
      <c r="B42" s="1">
        <f t="shared" si="19"/>
        <v>5.5625</v>
      </c>
      <c r="C42" s="1">
        <f t="shared" si="20"/>
        <v>5.75</v>
      </c>
      <c r="D42" s="1">
        <f t="shared" si="21"/>
        <v>5.65625</v>
      </c>
      <c r="E42" s="1">
        <f t="shared" si="26"/>
        <v>0.27653470298381233</v>
      </c>
      <c r="F42" s="1">
        <f t="shared" si="22"/>
        <v>-8.4662019909737651E-2</v>
      </c>
      <c r="G42" s="1">
        <f t="shared" si="23"/>
        <v>9.695247592598788E-2</v>
      </c>
      <c r="H42" s="1">
        <f t="shared" si="24"/>
        <v>9.375E-2</v>
      </c>
      <c r="I42" s="1">
        <f t="shared" si="25"/>
        <v>2.6810724133738275E-2</v>
      </c>
    </row>
    <row r="43" spans="1:9" x14ac:dyDescent="0.25">
      <c r="A43" s="1">
        <v>6</v>
      </c>
      <c r="B43" s="1">
        <f t="shared" si="19"/>
        <v>5.65625</v>
      </c>
      <c r="C43" s="1">
        <f t="shared" si="20"/>
        <v>5.75</v>
      </c>
      <c r="D43" s="1">
        <f t="shared" si="21"/>
        <v>5.703125</v>
      </c>
      <c r="E43" s="1">
        <f t="shared" si="26"/>
        <v>9.695247592598788E-2</v>
      </c>
      <c r="F43" s="1">
        <f t="shared" si="22"/>
        <v>-8.4662019909737651E-2</v>
      </c>
      <c r="G43" s="1">
        <f t="shared" si="23"/>
        <v>6.3808584027273962E-3</v>
      </c>
      <c r="H43" s="1">
        <f t="shared" si="24"/>
        <v>4.6875E-2</v>
      </c>
      <c r="I43" s="1">
        <f t="shared" si="25"/>
        <v>6.186400206775654E-4</v>
      </c>
    </row>
    <row r="44" spans="1:9" x14ac:dyDescent="0.25">
      <c r="A44" s="1">
        <v>7</v>
      </c>
      <c r="B44" s="1">
        <f t="shared" si="19"/>
        <v>5.703125</v>
      </c>
      <c r="C44" s="1">
        <f t="shared" si="20"/>
        <v>5.75</v>
      </c>
      <c r="D44" s="1">
        <f t="shared" si="21"/>
        <v>5.7265625</v>
      </c>
      <c r="E44" s="1">
        <f t="shared" si="26"/>
        <v>6.3808584027273962E-3</v>
      </c>
      <c r="F44" s="1">
        <f t="shared" si="22"/>
        <v>-8.4662019909737651E-2</v>
      </c>
      <c r="G44" s="1">
        <f t="shared" si="23"/>
        <v>-3.9083988266427117E-2</v>
      </c>
      <c r="H44" s="1">
        <f t="shared" si="24"/>
        <v>2.34375E-2</v>
      </c>
      <c r="I44" s="1">
        <f t="shared" si="25"/>
        <v>-2.4938939494193043E-4</v>
      </c>
    </row>
    <row r="45" spans="1:9" x14ac:dyDescent="0.25">
      <c r="A45" s="1">
        <v>8</v>
      </c>
      <c r="B45" s="1">
        <f t="shared" si="19"/>
        <v>5.703125</v>
      </c>
      <c r="C45" s="1">
        <f t="shared" si="20"/>
        <v>5.7265625</v>
      </c>
      <c r="D45" s="1">
        <f t="shared" si="21"/>
        <v>5.71484375</v>
      </c>
      <c r="E45" s="1">
        <f t="shared" si="26"/>
        <v>6.3808584027273962E-3</v>
      </c>
      <c r="F45" s="1">
        <f t="shared" si="22"/>
        <v>-3.9083988266427117E-2</v>
      </c>
      <c r="G45" s="1">
        <f t="shared" si="23"/>
        <v>-1.6337126796556412E-2</v>
      </c>
      <c r="H45" s="1">
        <f t="shared" si="24"/>
        <v>1.171875E-2</v>
      </c>
      <c r="I45" s="1">
        <f t="shared" si="25"/>
        <v>-1.0424489279622989E-4</v>
      </c>
    </row>
    <row r="46" spans="1:9" x14ac:dyDescent="0.25">
      <c r="A46" s="1">
        <v>9</v>
      </c>
      <c r="B46" s="1">
        <f t="shared" si="19"/>
        <v>5.703125</v>
      </c>
      <c r="C46" s="1">
        <f t="shared" si="20"/>
        <v>5.71484375</v>
      </c>
      <c r="D46" s="1">
        <f t="shared" si="21"/>
        <v>5.708984375</v>
      </c>
      <c r="E46" s="1">
        <f t="shared" si="26"/>
        <v>6.3808584027273962E-3</v>
      </c>
      <c r="F46" s="1">
        <f t="shared" si="22"/>
        <v>-1.6337126796556412E-2</v>
      </c>
      <c r="G46" s="1">
        <f t="shared" si="23"/>
        <v>-4.9744884650730903E-3</v>
      </c>
      <c r="H46" s="1">
        <f t="shared" si="24"/>
        <v>5.859375E-3</v>
      </c>
      <c r="I46" s="1">
        <f t="shared" si="25"/>
        <v>-3.1741506521632133E-5</v>
      </c>
    </row>
    <row r="47" spans="1:9" x14ac:dyDescent="0.25">
      <c r="A47" s="1">
        <v>10</v>
      </c>
      <c r="B47" s="1">
        <f t="shared" si="19"/>
        <v>5.703125</v>
      </c>
      <c r="C47" s="1">
        <f t="shared" si="20"/>
        <v>5.708984375</v>
      </c>
      <c r="D47" s="1">
        <f t="shared" si="21"/>
        <v>5.7060546875</v>
      </c>
      <c r="E47" s="1">
        <f t="shared" si="26"/>
        <v>6.3808584027273962E-3</v>
      </c>
      <c r="F47" s="1">
        <f t="shared" si="22"/>
        <v>-4.9744884650730903E-3</v>
      </c>
      <c r="G47" s="1">
        <f t="shared" si="23"/>
        <v>7.0410092313410999E-4</v>
      </c>
      <c r="H47" s="1">
        <f t="shared" si="24"/>
        <v>2.9296875E-3</v>
      </c>
      <c r="I47" s="1">
        <f t="shared" si="25"/>
        <v>4.4927682917484026E-6</v>
      </c>
    </row>
    <row r="48" spans="1:9" x14ac:dyDescent="0.25">
      <c r="A48" s="1">
        <v>11</v>
      </c>
      <c r="B48" s="1">
        <f t="shared" si="19"/>
        <v>5.7060546875</v>
      </c>
      <c r="C48" s="1">
        <f t="shared" si="20"/>
        <v>5.708984375</v>
      </c>
      <c r="D48" s="1">
        <f t="shared" si="21"/>
        <v>5.70751953125</v>
      </c>
      <c r="E48" s="1">
        <f t="shared" si="26"/>
        <v>7.0410092313410999E-4</v>
      </c>
      <c r="F48" s="1">
        <f t="shared" si="22"/>
        <v>-4.9744884650730903E-3</v>
      </c>
      <c r="G48" s="1">
        <f t="shared" si="23"/>
        <v>-2.134965347408091E-3</v>
      </c>
      <c r="H48" s="1">
        <f t="shared" si="24"/>
        <v>1.46484375E-3</v>
      </c>
      <c r="I48" s="1">
        <f t="shared" si="25"/>
        <v>-1.5032310719693727E-6</v>
      </c>
    </row>
    <row r="49" spans="1:9" x14ac:dyDescent="0.25">
      <c r="A49" s="1">
        <v>12</v>
      </c>
      <c r="B49" s="1">
        <f t="shared" si="19"/>
        <v>5.7060546875</v>
      </c>
      <c r="C49" s="1">
        <f t="shared" si="20"/>
        <v>5.70751953125</v>
      </c>
      <c r="D49" s="1">
        <f t="shared" si="21"/>
        <v>5.706787109375</v>
      </c>
      <c r="E49" s="1">
        <f t="shared" si="26"/>
        <v>7.0410092313410999E-4</v>
      </c>
      <c r="F49" s="1">
        <f t="shared" si="22"/>
        <v>-2.134965347408091E-3</v>
      </c>
      <c r="G49" s="1">
        <f t="shared" si="23"/>
        <v>-7.1537503561014404E-4</v>
      </c>
      <c r="H49" s="1">
        <f t="shared" si="24"/>
        <v>7.32421875E-4</v>
      </c>
      <c r="I49" s="1">
        <f t="shared" si="25"/>
        <v>-5.0369622296019919E-7</v>
      </c>
    </row>
    <row r="56" spans="1:9" x14ac:dyDescent="0.25">
      <c r="A56" s="4" t="s">
        <v>0</v>
      </c>
      <c r="B56" s="3" t="s">
        <v>22</v>
      </c>
      <c r="C56" s="3"/>
      <c r="E56" s="4" t="s">
        <v>26</v>
      </c>
      <c r="F56" s="1">
        <f>D74</f>
        <v>0.31591796875</v>
      </c>
    </row>
    <row r="57" spans="1:9" x14ac:dyDescent="0.25">
      <c r="A57" s="4" t="s">
        <v>1</v>
      </c>
      <c r="B57" s="3" t="s">
        <v>6</v>
      </c>
      <c r="C57" s="3"/>
    </row>
    <row r="58" spans="1:9" x14ac:dyDescent="0.25">
      <c r="A58" s="4" t="s">
        <v>2</v>
      </c>
      <c r="B58" s="3">
        <v>1E-4</v>
      </c>
      <c r="C58" s="3"/>
    </row>
    <row r="59" spans="1:9" x14ac:dyDescent="0.25">
      <c r="A59" s="4" t="s">
        <v>3</v>
      </c>
      <c r="B59" s="3">
        <v>0</v>
      </c>
      <c r="C59" s="3"/>
    </row>
    <row r="60" spans="1:9" x14ac:dyDescent="0.25">
      <c r="A60" s="4" t="s">
        <v>4</v>
      </c>
      <c r="B60" s="3">
        <v>2</v>
      </c>
      <c r="C60" s="3"/>
    </row>
    <row r="62" spans="1:9" x14ac:dyDescent="0.25">
      <c r="A62" s="2" t="s">
        <v>7</v>
      </c>
      <c r="B62" s="2" t="s">
        <v>8</v>
      </c>
      <c r="C62" s="2" t="s">
        <v>9</v>
      </c>
      <c r="D62" s="2" t="s">
        <v>15</v>
      </c>
      <c r="E62" s="2" t="s">
        <v>10</v>
      </c>
      <c r="F62" s="2" t="s">
        <v>11</v>
      </c>
      <c r="G62" s="2" t="s">
        <v>12</v>
      </c>
      <c r="H62" s="2" t="s">
        <v>13</v>
      </c>
      <c r="I62" s="2" t="s">
        <v>14</v>
      </c>
    </row>
    <row r="63" spans="1:9" x14ac:dyDescent="0.25">
      <c r="A63" s="1">
        <v>1</v>
      </c>
      <c r="B63" s="1">
        <f>$B$59</f>
        <v>0</v>
      </c>
      <c r="C63" s="1">
        <f>$B$60</f>
        <v>2</v>
      </c>
      <c r="D63" s="1">
        <f>(B63+C63)/2</f>
        <v>1</v>
      </c>
      <c r="E63" s="1">
        <f>B63^3-B63^2*EXP(-0.5*B63)-3*B63+1</f>
        <v>1</v>
      </c>
      <c r="F63" s="1">
        <f t="shared" ref="F63:G63" si="27">C63^3-C63^2*EXP(-0.5*C63)-3*C63+1</f>
        <v>1.5284822353142307</v>
      </c>
      <c r="G63" s="1">
        <f>D63^3-D63^2*EXP(-0.5*D63)-3*D63+1</f>
        <v>-1.6065306597126332</v>
      </c>
      <c r="H63" s="1">
        <f>ABS(C63-B63)/2</f>
        <v>1</v>
      </c>
      <c r="I63" s="1">
        <f>E63*G63</f>
        <v>-1.6065306597126332</v>
      </c>
    </row>
    <row r="64" spans="1:9" x14ac:dyDescent="0.25">
      <c r="A64" s="1">
        <v>2</v>
      </c>
      <c r="B64" s="1">
        <f>IF(I63&lt;0,B63, D63)</f>
        <v>0</v>
      </c>
      <c r="C64" s="1">
        <f>IF(I63&lt;0,D63, C63)</f>
        <v>1</v>
      </c>
      <c r="D64" s="1">
        <f>(B64+C64)/2</f>
        <v>0.5</v>
      </c>
      <c r="E64" s="1">
        <f t="shared" ref="E64:E74" si="28">B64^3-B64^2*EXP(-0.5*B64)-3*B64+1</f>
        <v>1</v>
      </c>
      <c r="F64" s="1">
        <f t="shared" ref="F64:F74" si="29">C64^3-C64^2*EXP(-0.5*C64)-3*C64+1</f>
        <v>-1.6065306597126332</v>
      </c>
      <c r="G64" s="1">
        <f t="shared" ref="G64:G74" si="30">D64^3-D64^2*EXP(-0.5*D64)-3*D64+1</f>
        <v>-0.56970019576785114</v>
      </c>
      <c r="H64" s="1">
        <f>ABS(C64-B64)/2</f>
        <v>0.5</v>
      </c>
      <c r="I64" s="1">
        <f>E64*G64</f>
        <v>-0.56970019576785114</v>
      </c>
    </row>
    <row r="65" spans="1:9" x14ac:dyDescent="0.25">
      <c r="A65" s="1">
        <v>3</v>
      </c>
      <c r="B65" s="1">
        <f t="shared" ref="B65:B74" si="31">IF(I64&lt;0,B64, D64)</f>
        <v>0</v>
      </c>
      <c r="C65" s="1">
        <f t="shared" ref="C65:C74" si="32">IF(I64&lt;0,D64, C64)</f>
        <v>0.5</v>
      </c>
      <c r="D65" s="1">
        <f t="shared" ref="D65:D74" si="33">(B65+C65)/2</f>
        <v>0.25</v>
      </c>
      <c r="E65" s="1">
        <f t="shared" si="28"/>
        <v>1</v>
      </c>
      <c r="F65" s="1">
        <f t="shared" si="29"/>
        <v>-0.56970019576785114</v>
      </c>
      <c r="G65" s="1">
        <f t="shared" si="30"/>
        <v>0.2104689435884628</v>
      </c>
      <c r="H65" s="1">
        <f t="shared" ref="H65:H74" si="34">ABS(C65-B65)/2</f>
        <v>0.25</v>
      </c>
      <c r="I65" s="1">
        <f t="shared" ref="I65:I74" si="35">E65*G65</f>
        <v>0.2104689435884628</v>
      </c>
    </row>
    <row r="66" spans="1:9" x14ac:dyDescent="0.25">
      <c r="A66" s="1">
        <v>4</v>
      </c>
      <c r="B66" s="1">
        <f t="shared" si="31"/>
        <v>0.25</v>
      </c>
      <c r="C66" s="1">
        <f t="shared" si="32"/>
        <v>0.5</v>
      </c>
      <c r="D66" s="1">
        <f t="shared" si="33"/>
        <v>0.375</v>
      </c>
      <c r="E66" s="1">
        <f t="shared" si="28"/>
        <v>0.2104689435884628</v>
      </c>
      <c r="F66" s="1">
        <f t="shared" si="29"/>
        <v>-0.56970019576785114</v>
      </c>
      <c r="G66" s="1">
        <f t="shared" si="30"/>
        <v>-0.18884784474411886</v>
      </c>
      <c r="H66" s="1">
        <f t="shared" si="34"/>
        <v>0.125</v>
      </c>
      <c r="I66" s="1">
        <f t="shared" si="35"/>
        <v>-3.9746606382252733E-2</v>
      </c>
    </row>
    <row r="67" spans="1:9" x14ac:dyDescent="0.25">
      <c r="A67" s="1">
        <v>5</v>
      </c>
      <c r="B67" s="1">
        <f t="shared" si="31"/>
        <v>0.25</v>
      </c>
      <c r="C67" s="1">
        <f t="shared" si="32"/>
        <v>0.375</v>
      </c>
      <c r="D67" s="1">
        <f t="shared" si="33"/>
        <v>0.3125</v>
      </c>
      <c r="E67" s="1">
        <f t="shared" si="28"/>
        <v>0.2104689435884628</v>
      </c>
      <c r="F67" s="1">
        <f t="shared" si="29"/>
        <v>-0.18884784474411886</v>
      </c>
      <c r="G67" s="1">
        <f t="shared" si="30"/>
        <v>9.4877610051344874E-3</v>
      </c>
      <c r="H67" s="1">
        <f t="shared" si="34"/>
        <v>6.25E-2</v>
      </c>
      <c r="I67" s="1">
        <f t="shared" si="35"/>
        <v>1.9968790357704673E-3</v>
      </c>
    </row>
    <row r="68" spans="1:9" x14ac:dyDescent="0.25">
      <c r="A68" s="1">
        <v>6</v>
      </c>
      <c r="B68" s="1">
        <f t="shared" si="31"/>
        <v>0.3125</v>
      </c>
      <c r="C68" s="1">
        <f t="shared" si="32"/>
        <v>0.375</v>
      </c>
      <c r="D68" s="1">
        <f t="shared" si="33"/>
        <v>0.34375</v>
      </c>
      <c r="E68" s="1">
        <f t="shared" si="28"/>
        <v>9.4877610051344874E-3</v>
      </c>
      <c r="F68" s="1">
        <f t="shared" si="29"/>
        <v>-0.18884784474411886</v>
      </c>
      <c r="G68" s="1">
        <f t="shared" si="30"/>
        <v>-9.0135220394872428E-2</v>
      </c>
      <c r="H68" s="1">
        <f t="shared" si="34"/>
        <v>3.125E-2</v>
      </c>
      <c r="I68" s="1">
        <f t="shared" si="35"/>
        <v>-8.5518142925167337E-4</v>
      </c>
    </row>
    <row r="69" spans="1:9" x14ac:dyDescent="0.25">
      <c r="A69" s="1">
        <v>7</v>
      </c>
      <c r="B69" s="1">
        <f t="shared" si="31"/>
        <v>0.3125</v>
      </c>
      <c r="C69" s="1">
        <f t="shared" si="32"/>
        <v>0.34375</v>
      </c>
      <c r="D69" s="1">
        <f t="shared" si="33"/>
        <v>0.328125</v>
      </c>
      <c r="E69" s="1">
        <f t="shared" si="28"/>
        <v>9.4877610051344874E-3</v>
      </c>
      <c r="F69" s="1">
        <f>C69^3-C69^2*EXP(-0.5*C69)-3*C69+1</f>
        <v>-9.0135220394872428E-2</v>
      </c>
      <c r="G69" s="1">
        <f t="shared" si="30"/>
        <v>-4.0422049298882712E-2</v>
      </c>
      <c r="H69" s="1">
        <f t="shared" si="34"/>
        <v>1.5625E-2</v>
      </c>
      <c r="I69" s="1">
        <f t="shared" si="35"/>
        <v>-3.8351474308556324E-4</v>
      </c>
    </row>
    <row r="70" spans="1:9" x14ac:dyDescent="0.25">
      <c r="A70" s="1">
        <v>8</v>
      </c>
      <c r="B70" s="1">
        <f t="shared" si="31"/>
        <v>0.3125</v>
      </c>
      <c r="C70" s="1">
        <f t="shared" si="32"/>
        <v>0.328125</v>
      </c>
      <c r="D70" s="1">
        <f t="shared" si="33"/>
        <v>0.3203125</v>
      </c>
      <c r="E70" s="1">
        <f t="shared" si="28"/>
        <v>9.4877610051344874E-3</v>
      </c>
      <c r="F70" s="1">
        <f t="shared" si="29"/>
        <v>-4.0422049298882712E-2</v>
      </c>
      <c r="G70" s="1">
        <f t="shared" si="30"/>
        <v>-1.5489782308668598E-2</v>
      </c>
      <c r="H70" s="1">
        <f t="shared" si="34"/>
        <v>7.8125E-3</v>
      </c>
      <c r="I70" s="1">
        <f t="shared" si="35"/>
        <v>-1.4696335256620798E-4</v>
      </c>
    </row>
    <row r="71" spans="1:9" x14ac:dyDescent="0.25">
      <c r="A71" s="1">
        <v>9</v>
      </c>
      <c r="B71" s="1">
        <f t="shared" si="31"/>
        <v>0.3125</v>
      </c>
      <c r="C71" s="1">
        <f t="shared" si="32"/>
        <v>0.3203125</v>
      </c>
      <c r="D71" s="1">
        <f t="shared" si="33"/>
        <v>0.31640625</v>
      </c>
      <c r="E71" s="1">
        <f t="shared" si="28"/>
        <v>9.4877610051344874E-3</v>
      </c>
      <c r="F71" s="1">
        <f t="shared" si="29"/>
        <v>-1.5489782308668598E-2</v>
      </c>
      <c r="G71" s="1">
        <f t="shared" si="30"/>
        <v>-3.006427010124435E-3</v>
      </c>
      <c r="H71" s="1">
        <f t="shared" si="34"/>
        <v>3.90625E-3</v>
      </c>
      <c r="I71" s="1">
        <f t="shared" si="35"/>
        <v>-2.8524260951441682E-5</v>
      </c>
    </row>
    <row r="72" spans="1:9" x14ac:dyDescent="0.25">
      <c r="A72" s="1">
        <v>10</v>
      </c>
      <c r="B72" s="1">
        <f t="shared" si="31"/>
        <v>0.3125</v>
      </c>
      <c r="C72" s="1">
        <f t="shared" si="32"/>
        <v>0.31640625</v>
      </c>
      <c r="D72" s="1">
        <f t="shared" si="33"/>
        <v>0.314453125</v>
      </c>
      <c r="E72" s="1">
        <f t="shared" si="28"/>
        <v>9.4877610051344874E-3</v>
      </c>
      <c r="F72" s="1">
        <f t="shared" si="29"/>
        <v>-3.006427010124435E-3</v>
      </c>
      <c r="G72" s="1">
        <f t="shared" si="30"/>
        <v>3.239343334866418E-3</v>
      </c>
      <c r="H72" s="1">
        <f t="shared" si="34"/>
        <v>1.953125E-3</v>
      </c>
      <c r="I72" s="1">
        <f t="shared" si="35"/>
        <v>3.073411537478791E-5</v>
      </c>
    </row>
    <row r="73" spans="1:9" x14ac:dyDescent="0.25">
      <c r="A73" s="1">
        <v>11</v>
      </c>
      <c r="B73" s="1">
        <f t="shared" si="31"/>
        <v>0.314453125</v>
      </c>
      <c r="C73" s="1">
        <f t="shared" si="32"/>
        <v>0.31640625</v>
      </c>
      <c r="D73" s="1">
        <f t="shared" si="33"/>
        <v>0.3154296875</v>
      </c>
      <c r="E73" s="1">
        <f t="shared" si="28"/>
        <v>3.239343334866418E-3</v>
      </c>
      <c r="F73" s="1">
        <f t="shared" si="29"/>
        <v>-3.006427010124435E-3</v>
      </c>
      <c r="G73" s="1">
        <f t="shared" si="30"/>
        <v>1.1612344203659752E-4</v>
      </c>
      <c r="H73" s="1">
        <f t="shared" si="34"/>
        <v>9.765625E-4</v>
      </c>
      <c r="I73" s="1">
        <f t="shared" si="35"/>
        <v>3.7616369798299901E-7</v>
      </c>
    </row>
    <row r="74" spans="1:9" x14ac:dyDescent="0.25">
      <c r="A74" s="1">
        <v>12</v>
      </c>
      <c r="B74" s="1">
        <f t="shared" si="31"/>
        <v>0.3154296875</v>
      </c>
      <c r="C74" s="1">
        <f t="shared" si="32"/>
        <v>0.31640625</v>
      </c>
      <c r="D74" s="1">
        <f t="shared" si="33"/>
        <v>0.31591796875</v>
      </c>
      <c r="E74" s="1">
        <f t="shared" si="28"/>
        <v>1.1612344203659752E-4</v>
      </c>
      <c r="F74" s="1">
        <f t="shared" si="29"/>
        <v>-3.006427010124435E-3</v>
      </c>
      <c r="G74" s="1">
        <f t="shared" si="30"/>
        <v>-1.4452359395975556E-3</v>
      </c>
      <c r="H74" s="1">
        <f t="shared" si="34"/>
        <v>4.8828125E-4</v>
      </c>
      <c r="I74" s="1">
        <f t="shared" si="35"/>
        <v>-1.6782577186106431E-7</v>
      </c>
    </row>
    <row r="81" spans="1:9" x14ac:dyDescent="0.25">
      <c r="A81" s="4" t="s">
        <v>0</v>
      </c>
      <c r="B81" s="3" t="s">
        <v>21</v>
      </c>
      <c r="C81" s="3"/>
      <c r="E81" s="4" t="s">
        <v>26</v>
      </c>
      <c r="F81" s="1">
        <f>D99</f>
        <v>-3.00048828125</v>
      </c>
    </row>
    <row r="82" spans="1:9" x14ac:dyDescent="0.25">
      <c r="A82" s="4" t="s">
        <v>1</v>
      </c>
      <c r="B82" s="3" t="s">
        <v>6</v>
      </c>
      <c r="C82" s="3"/>
    </row>
    <row r="83" spans="1:9" x14ac:dyDescent="0.25">
      <c r="A83" s="4" t="s">
        <v>2</v>
      </c>
      <c r="B83" s="3">
        <v>1E-4</v>
      </c>
      <c r="C83" s="3"/>
    </row>
    <row r="84" spans="1:9" x14ac:dyDescent="0.25">
      <c r="A84" s="4" t="s">
        <v>3</v>
      </c>
      <c r="B84" s="3">
        <v>-5</v>
      </c>
      <c r="C84" s="3"/>
    </row>
    <row r="85" spans="1:9" x14ac:dyDescent="0.25">
      <c r="A85" s="4" t="s">
        <v>4</v>
      </c>
      <c r="B85" s="3">
        <v>-3</v>
      </c>
      <c r="C85" s="3"/>
    </row>
    <row r="87" spans="1:9" x14ac:dyDescent="0.25">
      <c r="A87" s="2" t="s">
        <v>7</v>
      </c>
      <c r="B87" s="2" t="s">
        <v>8</v>
      </c>
      <c r="C87" s="2" t="s">
        <v>9</v>
      </c>
      <c r="D87" s="2" t="s">
        <v>15</v>
      </c>
      <c r="E87" s="2" t="s">
        <v>10</v>
      </c>
      <c r="F87" s="2" t="s">
        <v>11</v>
      </c>
      <c r="G87" s="2" t="s">
        <v>12</v>
      </c>
      <c r="H87" s="2" t="s">
        <v>13</v>
      </c>
      <c r="I87" s="2" t="s">
        <v>14</v>
      </c>
    </row>
    <row r="88" spans="1:9" x14ac:dyDescent="0.25">
      <c r="A88" s="1">
        <v>1</v>
      </c>
      <c r="B88" s="1">
        <f>$B$84</f>
        <v>-5</v>
      </c>
      <c r="C88" s="1">
        <f>$B$85</f>
        <v>-3</v>
      </c>
      <c r="D88" s="1">
        <f>(B88+C88)/2</f>
        <v>-4</v>
      </c>
      <c r="E88" s="1">
        <f>COS(B88)^2-0.5*B88*EXP(0.3*B88)+5</f>
        <v>5.638289635832848</v>
      </c>
      <c r="F88" s="1">
        <f>COS(C88)^2-0.5*C88*EXP(0.3*C88)+5</f>
        <v>6.5899396329360815</v>
      </c>
      <c r="G88" s="1">
        <f>COS(D88)^2-0.5*D88*EXP(0.3*D88)+5</f>
        <v>6.0296384069200979</v>
      </c>
      <c r="H88" s="1">
        <f>ABS(C88-B88)/2</f>
        <v>1</v>
      </c>
      <c r="I88" s="1">
        <f>E88*G88</f>
        <v>33.996847737557275</v>
      </c>
    </row>
    <row r="89" spans="1:9" x14ac:dyDescent="0.25">
      <c r="A89" s="1">
        <v>2</v>
      </c>
      <c r="B89" s="1">
        <f>IF(I88&lt;0,B88, D88)</f>
        <v>-4</v>
      </c>
      <c r="C89" s="1">
        <f>IF(I88&lt;0,D88, C88)</f>
        <v>-3</v>
      </c>
      <c r="D89" s="1">
        <f>(B89+C89)/2</f>
        <v>-3.5</v>
      </c>
      <c r="E89" s="1">
        <f t="shared" ref="E89:E99" si="36">COS(B89)^2-0.5*B89*EXP(0.3*B89)+5</f>
        <v>6.0296384069200979</v>
      </c>
      <c r="F89" s="1">
        <f t="shared" ref="F89:F99" si="37">COS(C89)^2-0.5*C89*EXP(0.3*C89)+5</f>
        <v>6.5899396329360815</v>
      </c>
      <c r="G89" s="1">
        <f t="shared" ref="G89:G99" si="38">COS(D89)^2-0.5*D89*EXP(0.3*D89)+5</f>
        <v>6.4893421881161739</v>
      </c>
      <c r="H89" s="1">
        <f>ABS(C89-B89)/2</f>
        <v>0.5</v>
      </c>
      <c r="I89" s="1">
        <f>E89*G89</f>
        <v>39.128386893112186</v>
      </c>
    </row>
    <row r="90" spans="1:9" x14ac:dyDescent="0.25">
      <c r="A90" s="1">
        <v>3</v>
      </c>
      <c r="B90" s="1">
        <f>IF(I89&lt;0,B89, D89)</f>
        <v>-3.5</v>
      </c>
      <c r="C90" s="1">
        <f t="shared" ref="C90:C99" si="39">IF(I89&lt;0,D89, C89)</f>
        <v>-3</v>
      </c>
      <c r="D90" s="1">
        <f t="shared" ref="D90:D99" si="40">(B90+C90)/2</f>
        <v>-3.25</v>
      </c>
      <c r="E90" s="1">
        <f>COS(B90)^2-0.5*B90*EXP(0.3*B90)+5</f>
        <v>6.4893421881161739</v>
      </c>
      <c r="F90" s="1">
        <f t="shared" si="37"/>
        <v>6.5899396329360815</v>
      </c>
      <c r="G90" s="1">
        <f t="shared" si="38"/>
        <v>6.6012313874041419</v>
      </c>
      <c r="H90" s="1">
        <f t="shared" ref="H90:H99" si="41">ABS(C90-B90)/2</f>
        <v>0.25</v>
      </c>
      <c r="I90" s="1">
        <f t="shared" ref="I90:I99" si="42">E90*G90</f>
        <v>42.837649335798361</v>
      </c>
    </row>
    <row r="91" spans="1:9" x14ac:dyDescent="0.25">
      <c r="A91" s="1">
        <v>4</v>
      </c>
      <c r="B91" s="1">
        <f t="shared" ref="B90:B99" si="43">IF(I90&lt;0,B90, D90)</f>
        <v>-3.25</v>
      </c>
      <c r="C91" s="1">
        <f t="shared" si="39"/>
        <v>-3</v>
      </c>
      <c r="D91" s="1">
        <f t="shared" si="40"/>
        <v>-3.125</v>
      </c>
      <c r="E91" s="1">
        <f t="shared" si="36"/>
        <v>6.6012313874041419</v>
      </c>
      <c r="F91" s="1">
        <f t="shared" si="37"/>
        <v>6.5899396329360815</v>
      </c>
      <c r="G91" s="1">
        <f t="shared" si="38"/>
        <v>6.6116085007947483</v>
      </c>
      <c r="H91" s="1">
        <f t="shared" si="41"/>
        <v>0.125</v>
      </c>
      <c r="I91" s="1">
        <f t="shared" si="42"/>
        <v>43.644757556674335</v>
      </c>
    </row>
    <row r="92" spans="1:9" x14ac:dyDescent="0.25">
      <c r="A92" s="1">
        <v>5</v>
      </c>
      <c r="B92" s="1">
        <f t="shared" si="43"/>
        <v>-3.125</v>
      </c>
      <c r="C92" s="1">
        <f t="shared" si="39"/>
        <v>-3</v>
      </c>
      <c r="D92" s="1">
        <f t="shared" si="40"/>
        <v>-3.0625</v>
      </c>
      <c r="E92" s="1">
        <f t="shared" si="36"/>
        <v>6.6116085007947483</v>
      </c>
      <c r="F92" s="1">
        <f t="shared" si="37"/>
        <v>6.5899396329360815</v>
      </c>
      <c r="G92" s="1">
        <f t="shared" si="38"/>
        <v>6.6047529346049441</v>
      </c>
      <c r="H92" s="1">
        <f t="shared" si="41"/>
        <v>6.25E-2</v>
      </c>
      <c r="I92" s="1">
        <f t="shared" si="42"/>
        <v>43.668040648083107</v>
      </c>
    </row>
    <row r="93" spans="1:9" x14ac:dyDescent="0.25">
      <c r="A93" s="1">
        <v>6</v>
      </c>
      <c r="B93" s="1">
        <f t="shared" si="43"/>
        <v>-3.0625</v>
      </c>
      <c r="C93" s="1">
        <f t="shared" si="39"/>
        <v>-3</v>
      </c>
      <c r="D93" s="1">
        <f t="shared" si="40"/>
        <v>-3.03125</v>
      </c>
      <c r="E93" s="1">
        <f t="shared" si="36"/>
        <v>6.6047529346049441</v>
      </c>
      <c r="F93" s="1">
        <f t="shared" si="37"/>
        <v>6.5899396329360815</v>
      </c>
      <c r="G93" s="1">
        <f t="shared" si="38"/>
        <v>6.5983310265177355</v>
      </c>
      <c r="H93" s="1">
        <f t="shared" si="41"/>
        <v>3.125E-2</v>
      </c>
      <c r="I93" s="1">
        <f t="shared" si="42"/>
        <v>43.580346210887868</v>
      </c>
    </row>
    <row r="94" spans="1:9" x14ac:dyDescent="0.25">
      <c r="A94" s="1">
        <v>7</v>
      </c>
      <c r="B94" s="1">
        <f t="shared" si="43"/>
        <v>-3.03125</v>
      </c>
      <c r="C94" s="1">
        <f t="shared" si="39"/>
        <v>-3</v>
      </c>
      <c r="D94" s="1">
        <f t="shared" si="40"/>
        <v>-3.015625</v>
      </c>
      <c r="E94" s="1">
        <f t="shared" si="36"/>
        <v>6.5983310265177355</v>
      </c>
      <c r="F94" s="1">
        <f t="shared" si="37"/>
        <v>6.5899396329360815</v>
      </c>
      <c r="G94" s="1">
        <f t="shared" si="38"/>
        <v>6.5943798600098189</v>
      </c>
      <c r="H94" s="1">
        <f t="shared" si="41"/>
        <v>1.5625E-2</v>
      </c>
      <c r="I94" s="1">
        <f t="shared" si="42"/>
        <v>43.511901230946471</v>
      </c>
    </row>
    <row r="95" spans="1:9" x14ac:dyDescent="0.25">
      <c r="A95" s="1">
        <v>8</v>
      </c>
      <c r="B95" s="1">
        <f t="shared" si="43"/>
        <v>-3.015625</v>
      </c>
      <c r="C95" s="1">
        <f t="shared" si="39"/>
        <v>-3</v>
      </c>
      <c r="D95" s="1">
        <f t="shared" si="40"/>
        <v>-3.0078125</v>
      </c>
      <c r="E95" s="1">
        <f t="shared" si="36"/>
        <v>6.5943798600098189</v>
      </c>
      <c r="F95" s="1">
        <f t="shared" si="37"/>
        <v>6.5899396329360815</v>
      </c>
      <c r="G95" s="1">
        <f t="shared" si="38"/>
        <v>6.5922206468249591</v>
      </c>
      <c r="H95" s="1">
        <f t="shared" si="41"/>
        <v>7.8125E-3</v>
      </c>
      <c r="I95" s="1">
        <f t="shared" si="42"/>
        <v>43.471607066163415</v>
      </c>
    </row>
    <row r="96" spans="1:9" x14ac:dyDescent="0.25">
      <c r="A96" s="1">
        <v>9</v>
      </c>
      <c r="B96" s="1">
        <f t="shared" si="43"/>
        <v>-3.0078125</v>
      </c>
      <c r="C96" s="1">
        <f t="shared" si="39"/>
        <v>-3</v>
      </c>
      <c r="D96" s="1">
        <f t="shared" si="40"/>
        <v>-3.00390625</v>
      </c>
      <c r="E96" s="1">
        <f t="shared" si="36"/>
        <v>6.5922206468249591</v>
      </c>
      <c r="F96" s="1">
        <f t="shared" si="37"/>
        <v>6.5899396329360815</v>
      </c>
      <c r="G96" s="1">
        <f t="shared" si="38"/>
        <v>6.5910953343695553</v>
      </c>
      <c r="H96" s="1">
        <f t="shared" si="41"/>
        <v>3.90625E-3</v>
      </c>
      <c r="I96" s="1">
        <f t="shared" si="42"/>
        <v>43.449954748422641</v>
      </c>
    </row>
    <row r="97" spans="1:9" x14ac:dyDescent="0.25">
      <c r="A97" s="1">
        <v>10</v>
      </c>
      <c r="B97" s="1">
        <f t="shared" si="43"/>
        <v>-3.00390625</v>
      </c>
      <c r="C97" s="1">
        <f t="shared" si="39"/>
        <v>-3</v>
      </c>
      <c r="D97" s="1">
        <f t="shared" si="40"/>
        <v>-3.001953125</v>
      </c>
      <c r="E97" s="1">
        <f t="shared" si="36"/>
        <v>6.5910953343695553</v>
      </c>
      <c r="F97" s="1">
        <f t="shared" si="37"/>
        <v>6.5899396329360815</v>
      </c>
      <c r="G97" s="1">
        <f t="shared" si="38"/>
        <v>6.5905212783522904</v>
      </c>
      <c r="H97" s="1">
        <f t="shared" si="41"/>
        <v>1.953125E-3</v>
      </c>
      <c r="I97" s="1">
        <f t="shared" si="42"/>
        <v>43.438754048811056</v>
      </c>
    </row>
    <row r="98" spans="1:9" x14ac:dyDescent="0.25">
      <c r="A98" s="1">
        <v>11</v>
      </c>
      <c r="B98" s="1">
        <f t="shared" si="43"/>
        <v>-3.001953125</v>
      </c>
      <c r="C98" s="1">
        <f t="shared" si="39"/>
        <v>-3</v>
      </c>
      <c r="D98" s="1">
        <f t="shared" si="40"/>
        <v>-3.0009765625</v>
      </c>
      <c r="E98" s="1">
        <f t="shared" si="36"/>
        <v>6.5905212783522904</v>
      </c>
      <c r="F98" s="1">
        <f t="shared" si="37"/>
        <v>6.5899396329360815</v>
      </c>
      <c r="G98" s="1">
        <f t="shared" si="38"/>
        <v>6.590231403822596</v>
      </c>
      <c r="H98" s="1">
        <f t="shared" si="41"/>
        <v>9.765625E-4</v>
      </c>
      <c r="I98" s="1">
        <f t="shared" si="42"/>
        <v>43.433060296158303</v>
      </c>
    </row>
    <row r="99" spans="1:9" x14ac:dyDescent="0.25">
      <c r="A99" s="1">
        <v>12</v>
      </c>
      <c r="B99" s="1">
        <f t="shared" si="43"/>
        <v>-3.0009765625</v>
      </c>
      <c r="C99" s="1">
        <f t="shared" si="39"/>
        <v>-3</v>
      </c>
      <c r="D99" s="1">
        <f t="shared" si="40"/>
        <v>-3.00048828125</v>
      </c>
      <c r="E99" s="1">
        <f t="shared" si="36"/>
        <v>6.590231403822596</v>
      </c>
      <c r="F99" s="1">
        <f t="shared" si="37"/>
        <v>6.5899396329360815</v>
      </c>
      <c r="G99" s="1">
        <f t="shared" si="38"/>
        <v>6.5900857553615024</v>
      </c>
      <c r="H99" s="1">
        <f t="shared" si="41"/>
        <v>4.8828125E-4</v>
      </c>
      <c r="I99" s="1">
        <f t="shared" si="42"/>
        <v>43.430190098867328</v>
      </c>
    </row>
  </sheetData>
  <mergeCells count="20">
    <mergeCell ref="B83:C83"/>
    <mergeCell ref="B84:C84"/>
    <mergeCell ref="B85:C85"/>
    <mergeCell ref="B56:C56"/>
    <mergeCell ref="B57:C57"/>
    <mergeCell ref="B81:C81"/>
    <mergeCell ref="B82:C82"/>
    <mergeCell ref="B33:C33"/>
    <mergeCell ref="B34:C34"/>
    <mergeCell ref="B35:C35"/>
    <mergeCell ref="B58:C58"/>
    <mergeCell ref="B59:C59"/>
    <mergeCell ref="B60:C60"/>
    <mergeCell ref="B31:C31"/>
    <mergeCell ref="B32:C32"/>
    <mergeCell ref="B7:C7"/>
    <mergeCell ref="B8:C8"/>
    <mergeCell ref="B9:C9"/>
    <mergeCell ref="B10:C10"/>
    <mergeCell ref="B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EC64-A11E-40CD-875C-FA7C75EF66F2}">
  <dimension ref="A7:F95"/>
  <sheetViews>
    <sheetView topLeftCell="A67" workbookViewId="0">
      <selection activeCell="B78" sqref="B78:C78"/>
    </sheetView>
  </sheetViews>
  <sheetFormatPr baseColWidth="10" defaultRowHeight="15" x14ac:dyDescent="0.25"/>
  <cols>
    <col min="3" max="3" width="13.42578125" customWidth="1"/>
  </cols>
  <sheetData>
    <row r="7" spans="1:6" x14ac:dyDescent="0.25">
      <c r="A7" s="4" t="s">
        <v>0</v>
      </c>
      <c r="B7" s="3" t="s">
        <v>5</v>
      </c>
      <c r="C7" s="3"/>
    </row>
    <row r="8" spans="1:6" x14ac:dyDescent="0.25">
      <c r="A8" s="4" t="s">
        <v>1</v>
      </c>
      <c r="B8" s="3" t="s">
        <v>25</v>
      </c>
      <c r="C8" s="3"/>
    </row>
    <row r="9" spans="1:6" x14ac:dyDescent="0.25">
      <c r="A9" s="4" t="s">
        <v>2</v>
      </c>
      <c r="B9" s="3">
        <v>1E-4</v>
      </c>
      <c r="C9" s="3"/>
    </row>
    <row r="10" spans="1:6" x14ac:dyDescent="0.25">
      <c r="A10" s="4" t="s">
        <v>24</v>
      </c>
      <c r="B10" s="5">
        <v>3.5</v>
      </c>
      <c r="C10" s="5"/>
    </row>
    <row r="13" spans="1:6" x14ac:dyDescent="0.25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13</v>
      </c>
    </row>
    <row r="14" spans="1:6" x14ac:dyDescent="0.25">
      <c r="A14" s="1">
        <v>0</v>
      </c>
      <c r="B14" s="1">
        <f>$B$10</f>
        <v>3.5</v>
      </c>
      <c r="C14" s="1">
        <f>B14^3-EXP(0.8*B14)-20</f>
        <v>6.4303532289029448</v>
      </c>
      <c r="D14" s="1">
        <f>3*B14^2 - 0.8*EXP(0.8*B14)</f>
        <v>23.594282583122357</v>
      </c>
      <c r="E14" s="1">
        <f>B14 - C14/D14</f>
        <v>3.2274613794147422</v>
      </c>
      <c r="F14" s="1">
        <f>ABS(E14-B14)</f>
        <v>0.2725386205852578</v>
      </c>
    </row>
    <row r="15" spans="1:6" x14ac:dyDescent="0.25">
      <c r="A15" s="1">
        <f>A14+1</f>
        <v>1</v>
      </c>
      <c r="B15" s="1">
        <f>E14</f>
        <v>3.2274613794147422</v>
      </c>
      <c r="C15" s="1">
        <f>B15^3 - EXP(0.8*B15) - 20</f>
        <v>0.39572361474333917</v>
      </c>
      <c r="D15" s="1">
        <f>3*B15^2 - 0.8*EXP(0.8*B15)</f>
        <v>20.67100063251717</v>
      </c>
      <c r="E15" s="1">
        <f>B15 - C15/D15</f>
        <v>3.2083174772022467</v>
      </c>
      <c r="F15" s="1">
        <f>ABS(E15-B15)</f>
        <v>1.9143902212495512E-2</v>
      </c>
    </row>
    <row r="16" spans="1:6" x14ac:dyDescent="0.25">
      <c r="A16" s="1">
        <f t="shared" ref="A16:A24" si="0">A15+1</f>
        <v>2</v>
      </c>
      <c r="B16" s="1">
        <f t="shared" ref="B16:B24" si="1">E15</f>
        <v>3.2083174772022467</v>
      </c>
      <c r="C16" s="1">
        <f t="shared" ref="C16:C24" si="2">B16^3 - EXP(0.8*B16) - 20</f>
        <v>1.9985931829964443E-3</v>
      </c>
      <c r="D16" s="1">
        <f t="shared" ref="D16:D24" si="3">3*B16^2 - 0.8*EXP(0.8*B16)</f>
        <v>20.462159892383411</v>
      </c>
      <c r="E16" s="1">
        <f t="shared" ref="E16:E24" si="4">B16 - C16/D16</f>
        <v>3.2082198045619434</v>
      </c>
      <c r="F16" s="1">
        <f t="shared" ref="F16:F24" si="5">ABS(E16-B16)</f>
        <v>9.767264030324796E-5</v>
      </c>
    </row>
    <row r="17" spans="1:6" x14ac:dyDescent="0.25">
      <c r="A17" s="1">
        <f t="shared" si="0"/>
        <v>3</v>
      </c>
      <c r="B17" s="1">
        <f t="shared" si="1"/>
        <v>3.2082198045619434</v>
      </c>
      <c r="C17" s="1">
        <f t="shared" si="2"/>
        <v>5.2067743894212981E-8</v>
      </c>
      <c r="D17" s="1">
        <f t="shared" si="3"/>
        <v>20.461093722955745</v>
      </c>
      <c r="E17" s="1">
        <f t="shared" si="4"/>
        <v>3.2082198020172239</v>
      </c>
      <c r="F17" s="1">
        <f t="shared" si="5"/>
        <v>2.544719546193619E-9</v>
      </c>
    </row>
    <row r="18" spans="1:6" x14ac:dyDescent="0.25">
      <c r="A18" s="1">
        <f t="shared" si="0"/>
        <v>4</v>
      </c>
      <c r="B18" s="1">
        <f t="shared" si="1"/>
        <v>3.2082198020172239</v>
      </c>
      <c r="C18" s="1">
        <f>B18^3 - EXP(0.8*B18) - 20</f>
        <v>0</v>
      </c>
      <c r="D18" s="1">
        <f t="shared" si="3"/>
        <v>20.46109369517816</v>
      </c>
      <c r="E18" s="1">
        <f t="shared" si="4"/>
        <v>3.2082198020172239</v>
      </c>
      <c r="F18" s="1">
        <f t="shared" si="5"/>
        <v>0</v>
      </c>
    </row>
    <row r="19" spans="1:6" x14ac:dyDescent="0.25">
      <c r="A19" s="1">
        <f t="shared" si="0"/>
        <v>5</v>
      </c>
      <c r="B19" s="1">
        <f t="shared" si="1"/>
        <v>3.2082198020172239</v>
      </c>
      <c r="C19" s="1">
        <f t="shared" si="2"/>
        <v>0</v>
      </c>
      <c r="D19" s="1">
        <f t="shared" si="3"/>
        <v>20.46109369517816</v>
      </c>
      <c r="E19" s="1">
        <f t="shared" si="4"/>
        <v>3.2082198020172239</v>
      </c>
      <c r="F19" s="1">
        <f t="shared" si="5"/>
        <v>0</v>
      </c>
    </row>
    <row r="20" spans="1:6" x14ac:dyDescent="0.25">
      <c r="A20" s="1">
        <f t="shared" si="0"/>
        <v>6</v>
      </c>
      <c r="B20" s="1">
        <f t="shared" si="1"/>
        <v>3.2082198020172239</v>
      </c>
      <c r="C20" s="1">
        <f t="shared" si="2"/>
        <v>0</v>
      </c>
      <c r="D20" s="1">
        <f t="shared" si="3"/>
        <v>20.46109369517816</v>
      </c>
      <c r="E20" s="1">
        <f t="shared" si="4"/>
        <v>3.2082198020172239</v>
      </c>
      <c r="F20" s="1">
        <f t="shared" si="5"/>
        <v>0</v>
      </c>
    </row>
    <row r="21" spans="1:6" x14ac:dyDescent="0.25">
      <c r="A21" s="1">
        <f t="shared" si="0"/>
        <v>7</v>
      </c>
      <c r="B21" s="1">
        <f t="shared" si="1"/>
        <v>3.2082198020172239</v>
      </c>
      <c r="C21" s="1">
        <f t="shared" si="2"/>
        <v>0</v>
      </c>
      <c r="D21" s="1">
        <f t="shared" si="3"/>
        <v>20.46109369517816</v>
      </c>
      <c r="E21" s="1">
        <f t="shared" si="4"/>
        <v>3.2082198020172239</v>
      </c>
      <c r="F21" s="1">
        <f t="shared" si="5"/>
        <v>0</v>
      </c>
    </row>
    <row r="22" spans="1:6" x14ac:dyDescent="0.25">
      <c r="A22" s="1">
        <f t="shared" si="0"/>
        <v>8</v>
      </c>
      <c r="B22" s="1">
        <f t="shared" si="1"/>
        <v>3.2082198020172239</v>
      </c>
      <c r="C22" s="1">
        <f t="shared" si="2"/>
        <v>0</v>
      </c>
      <c r="D22" s="1">
        <f t="shared" si="3"/>
        <v>20.46109369517816</v>
      </c>
      <c r="E22" s="1">
        <f t="shared" si="4"/>
        <v>3.2082198020172239</v>
      </c>
      <c r="F22" s="1">
        <f t="shared" si="5"/>
        <v>0</v>
      </c>
    </row>
    <row r="23" spans="1:6" x14ac:dyDescent="0.25">
      <c r="A23" s="1">
        <f t="shared" si="0"/>
        <v>9</v>
      </c>
      <c r="B23" s="1">
        <f t="shared" si="1"/>
        <v>3.2082198020172239</v>
      </c>
      <c r="C23" s="1">
        <f t="shared" si="2"/>
        <v>0</v>
      </c>
      <c r="D23" s="1">
        <f t="shared" si="3"/>
        <v>20.46109369517816</v>
      </c>
      <c r="E23" s="1">
        <f t="shared" si="4"/>
        <v>3.2082198020172239</v>
      </c>
      <c r="F23" s="1">
        <f t="shared" si="5"/>
        <v>0</v>
      </c>
    </row>
    <row r="24" spans="1:6" x14ac:dyDescent="0.25">
      <c r="A24" s="1">
        <f t="shared" si="0"/>
        <v>10</v>
      </c>
      <c r="B24" s="1">
        <f t="shared" si="1"/>
        <v>3.2082198020172239</v>
      </c>
      <c r="C24" s="1">
        <f t="shared" si="2"/>
        <v>0</v>
      </c>
      <c r="D24" s="1">
        <f t="shared" si="3"/>
        <v>20.46109369517816</v>
      </c>
      <c r="E24" s="1">
        <f t="shared" si="4"/>
        <v>3.2082198020172239</v>
      </c>
      <c r="F24" s="1">
        <f t="shared" si="5"/>
        <v>0</v>
      </c>
    </row>
    <row r="30" spans="1:6" x14ac:dyDescent="0.25">
      <c r="A30" s="4" t="s">
        <v>0</v>
      </c>
      <c r="B30" s="3" t="s">
        <v>23</v>
      </c>
      <c r="C30" s="3"/>
    </row>
    <row r="31" spans="1:6" x14ac:dyDescent="0.25">
      <c r="A31" s="4" t="s">
        <v>1</v>
      </c>
      <c r="B31" s="3" t="s">
        <v>25</v>
      </c>
      <c r="C31" s="3"/>
    </row>
    <row r="32" spans="1:6" x14ac:dyDescent="0.25">
      <c r="A32" s="4" t="s">
        <v>2</v>
      </c>
      <c r="B32" s="3">
        <v>1E-4</v>
      </c>
      <c r="C32" s="3"/>
    </row>
    <row r="33" spans="1:6" x14ac:dyDescent="0.25">
      <c r="A33" s="4" t="s">
        <v>24</v>
      </c>
      <c r="B33" s="5">
        <v>3.5</v>
      </c>
      <c r="C33" s="5"/>
    </row>
    <row r="36" spans="1:6" x14ac:dyDescent="0.25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13</v>
      </c>
    </row>
    <row r="37" spans="1:6" x14ac:dyDescent="0.25">
      <c r="A37" s="1">
        <v>0</v>
      </c>
      <c r="B37" s="1">
        <f>$B$33</f>
        <v>3.5</v>
      </c>
      <c r="C37" s="1">
        <f>3*SIN(0.5*B37) - 0.5*B37 + 2</f>
        <v>3.2019578406218105</v>
      </c>
      <c r="D37" s="1">
        <f>1.5*COS(0.5*B37) - 0.5</f>
        <v>-0.76736908347423816</v>
      </c>
      <c r="E37" s="1">
        <f>B37 - C37/D37</f>
        <v>7.6726437897719988</v>
      </c>
      <c r="F37" s="1">
        <f>ABS(E37-B37)</f>
        <v>4.1726437897719988</v>
      </c>
    </row>
    <row r="38" spans="1:6" x14ac:dyDescent="0.25">
      <c r="A38" s="1">
        <f>A37+1</f>
        <v>1</v>
      </c>
      <c r="B38" s="1">
        <f>E37</f>
        <v>7.6726437897719988</v>
      </c>
      <c r="C38" s="1">
        <f t="shared" ref="C38:C47" si="6">3*SIN(0.5*B38) - 0.5*B38 + 2</f>
        <v>-3.7568542713925899</v>
      </c>
      <c r="D38" s="1">
        <f t="shared" ref="D38:D47" si="7">1.5*COS(0.5*B38) - 0.5</f>
        <v>-1.6523405953525576</v>
      </c>
      <c r="E38" s="1">
        <f>B38 - C38/D38</f>
        <v>5.3989876912900785</v>
      </c>
      <c r="F38" s="1">
        <f>ABS(E38-B38)</f>
        <v>2.2736560984819203</v>
      </c>
    </row>
    <row r="39" spans="1:6" x14ac:dyDescent="0.25">
      <c r="A39" s="1">
        <f t="shared" ref="A39:A47" si="8">A38+1</f>
        <v>2</v>
      </c>
      <c r="B39" s="1">
        <f t="shared" ref="B39:B47" si="9">E38</f>
        <v>5.3989876912900785</v>
      </c>
      <c r="C39" s="1">
        <f t="shared" si="6"/>
        <v>0.58401843091637162</v>
      </c>
      <c r="D39" s="1">
        <f t="shared" si="7"/>
        <v>-1.8557835590458516</v>
      </c>
      <c r="E39" s="1">
        <f t="shared" ref="E39:E47" si="10">B39 - C39/D39</f>
        <v>5.7136894937010467</v>
      </c>
      <c r="F39" s="1">
        <f t="shared" ref="F39:F47" si="11">ABS(E39-B39)</f>
        <v>0.31470180241096823</v>
      </c>
    </row>
    <row r="40" spans="1:6" x14ac:dyDescent="0.25">
      <c r="A40" s="1">
        <f t="shared" si="8"/>
        <v>3</v>
      </c>
      <c r="B40" s="1">
        <f t="shared" si="9"/>
        <v>5.7136894937010467</v>
      </c>
      <c r="C40" s="1">
        <f t="shared" si="6"/>
        <v>-1.4098192464363279E-2</v>
      </c>
      <c r="D40" s="1">
        <f t="shared" si="7"/>
        <v>-1.9395987500923872</v>
      </c>
      <c r="E40" s="1">
        <f t="shared" si="10"/>
        <v>5.7064208808172268</v>
      </c>
      <c r="F40" s="1">
        <f t="shared" si="11"/>
        <v>7.2686128838199693E-3</v>
      </c>
    </row>
    <row r="41" spans="1:6" x14ac:dyDescent="0.25">
      <c r="A41" s="1">
        <f t="shared" si="8"/>
        <v>4</v>
      </c>
      <c r="B41" s="1">
        <f t="shared" si="9"/>
        <v>5.7064208808172268</v>
      </c>
      <c r="C41" s="1">
        <f t="shared" si="6"/>
        <v>-5.5886041687713828E-6</v>
      </c>
      <c r="D41" s="1">
        <f t="shared" si="7"/>
        <v>-1.9380578466161711</v>
      </c>
      <c r="E41" s="1">
        <f t="shared" si="10"/>
        <v>5.7064179972066169</v>
      </c>
      <c r="F41" s="1">
        <f t="shared" si="11"/>
        <v>2.8836106098495407E-6</v>
      </c>
    </row>
    <row r="42" spans="1:6" x14ac:dyDescent="0.25">
      <c r="A42" s="1">
        <f t="shared" si="8"/>
        <v>5</v>
      </c>
      <c r="B42" s="1">
        <f t="shared" si="9"/>
        <v>5.7064179972066169</v>
      </c>
      <c r="C42" s="1">
        <f t="shared" si="6"/>
        <v>-8.8640206286072498E-13</v>
      </c>
      <c r="D42" s="1">
        <f t="shared" si="7"/>
        <v>-1.9380572315370355</v>
      </c>
      <c r="E42" s="1">
        <f t="shared" si="10"/>
        <v>5.7064179972061595</v>
      </c>
      <c r="F42" s="1">
        <f t="shared" si="11"/>
        <v>4.5741188614556449E-13</v>
      </c>
    </row>
    <row r="43" spans="1:6" x14ac:dyDescent="0.25">
      <c r="A43" s="1">
        <f t="shared" si="8"/>
        <v>6</v>
      </c>
      <c r="B43" s="1">
        <f t="shared" si="9"/>
        <v>5.7064179972061595</v>
      </c>
      <c r="C43" s="1">
        <f t="shared" si="6"/>
        <v>0</v>
      </c>
      <c r="D43" s="1">
        <f t="shared" si="7"/>
        <v>-1.938057231536938</v>
      </c>
      <c r="E43" s="1">
        <f t="shared" si="10"/>
        <v>5.7064179972061595</v>
      </c>
      <c r="F43" s="1">
        <f t="shared" si="11"/>
        <v>0</v>
      </c>
    </row>
    <row r="44" spans="1:6" x14ac:dyDescent="0.25">
      <c r="A44" s="1">
        <f t="shared" si="8"/>
        <v>7</v>
      </c>
      <c r="B44" s="1">
        <f t="shared" si="9"/>
        <v>5.7064179972061595</v>
      </c>
      <c r="C44" s="1">
        <f t="shared" si="6"/>
        <v>0</v>
      </c>
      <c r="D44" s="1">
        <f t="shared" si="7"/>
        <v>-1.938057231536938</v>
      </c>
      <c r="E44" s="1">
        <f t="shared" si="10"/>
        <v>5.7064179972061595</v>
      </c>
      <c r="F44" s="1">
        <f t="shared" si="11"/>
        <v>0</v>
      </c>
    </row>
    <row r="45" spans="1:6" x14ac:dyDescent="0.25">
      <c r="A45" s="1">
        <f t="shared" si="8"/>
        <v>8</v>
      </c>
      <c r="B45" s="1">
        <f t="shared" si="9"/>
        <v>5.7064179972061595</v>
      </c>
      <c r="C45" s="1">
        <f t="shared" si="6"/>
        <v>0</v>
      </c>
      <c r="D45" s="1">
        <f t="shared" si="7"/>
        <v>-1.938057231536938</v>
      </c>
      <c r="E45" s="1">
        <f t="shared" si="10"/>
        <v>5.7064179972061595</v>
      </c>
      <c r="F45" s="1">
        <f t="shared" si="11"/>
        <v>0</v>
      </c>
    </row>
    <row r="46" spans="1:6" x14ac:dyDescent="0.25">
      <c r="A46" s="1">
        <f t="shared" si="8"/>
        <v>9</v>
      </c>
      <c r="B46" s="1">
        <f t="shared" si="9"/>
        <v>5.7064179972061595</v>
      </c>
      <c r="C46" s="1">
        <f t="shared" si="6"/>
        <v>0</v>
      </c>
      <c r="D46" s="1">
        <f t="shared" si="7"/>
        <v>-1.938057231536938</v>
      </c>
      <c r="E46" s="1">
        <f t="shared" si="10"/>
        <v>5.7064179972061595</v>
      </c>
      <c r="F46" s="1">
        <f t="shared" si="11"/>
        <v>0</v>
      </c>
    </row>
    <row r="47" spans="1:6" x14ac:dyDescent="0.25">
      <c r="A47" s="1">
        <f t="shared" si="8"/>
        <v>10</v>
      </c>
      <c r="B47" s="1">
        <f t="shared" si="9"/>
        <v>5.7064179972061595</v>
      </c>
      <c r="C47" s="1">
        <f t="shared" si="6"/>
        <v>0</v>
      </c>
      <c r="D47" s="1">
        <f t="shared" si="7"/>
        <v>-1.938057231536938</v>
      </c>
      <c r="E47" s="1">
        <f t="shared" si="10"/>
        <v>5.7064179972061595</v>
      </c>
      <c r="F47" s="1">
        <f t="shared" si="11"/>
        <v>0</v>
      </c>
    </row>
    <row r="54" spans="1:6" x14ac:dyDescent="0.25">
      <c r="A54" s="4" t="s">
        <v>0</v>
      </c>
      <c r="B54" s="3" t="s">
        <v>22</v>
      </c>
      <c r="C54" s="3"/>
    </row>
    <row r="55" spans="1:6" x14ac:dyDescent="0.25">
      <c r="A55" s="4" t="s">
        <v>1</v>
      </c>
      <c r="B55" s="3" t="s">
        <v>25</v>
      </c>
      <c r="C55" s="3"/>
    </row>
    <row r="56" spans="1:6" x14ac:dyDescent="0.25">
      <c r="A56" s="4" t="s">
        <v>2</v>
      </c>
      <c r="B56" s="3">
        <v>1E-4</v>
      </c>
      <c r="C56" s="3"/>
    </row>
    <row r="57" spans="1:6" x14ac:dyDescent="0.25">
      <c r="A57" s="4" t="s">
        <v>24</v>
      </c>
      <c r="B57" s="5">
        <v>3.5</v>
      </c>
      <c r="C57" s="5"/>
    </row>
    <row r="60" spans="1:6" x14ac:dyDescent="0.25">
      <c r="A60" s="4" t="s">
        <v>16</v>
      </c>
      <c r="B60" s="4" t="s">
        <v>17</v>
      </c>
      <c r="C60" s="4" t="s">
        <v>18</v>
      </c>
      <c r="D60" s="4" t="s">
        <v>19</v>
      </c>
      <c r="E60" s="4" t="s">
        <v>20</v>
      </c>
      <c r="F60" s="4" t="s">
        <v>13</v>
      </c>
    </row>
    <row r="61" spans="1:6" x14ac:dyDescent="0.25">
      <c r="A61" s="1">
        <v>0</v>
      </c>
      <c r="B61" s="1">
        <f>$B$57</f>
        <v>3.5</v>
      </c>
      <c r="C61" s="1">
        <f>B61^3 - B61^2*EXP(-0.5*B61) - 3*B61 + 1</f>
        <v>31.246269192732044</v>
      </c>
      <c r="D61" s="1">
        <f>3*B61^2 - 2*B61*EXP(-0.5*B61) + 0.5*B61^2*EXP(-0.5*B61) - 3</f>
        <v>33.597947799480863</v>
      </c>
      <c r="E61" s="1">
        <f>B61 - C61/D61</f>
        <v>2.569994709819305</v>
      </c>
      <c r="F61" s="1">
        <f>ABS(E61-B61)</f>
        <v>0.930005290180695</v>
      </c>
    </row>
    <row r="62" spans="1:6" x14ac:dyDescent="0.25">
      <c r="A62" s="1">
        <f>A61+1</f>
        <v>1</v>
      </c>
      <c r="B62" s="1">
        <f>E61</f>
        <v>2.569994709819305</v>
      </c>
      <c r="C62" s="1">
        <f t="shared" ref="C62:C71" si="12">B62^3 - B62^2*EXP(-0.5*B62) - 3*B62 + 1</f>
        <v>8.4372572969018318</v>
      </c>
      <c r="D62" s="1">
        <f t="shared" ref="D62:D70" si="13">3*B62^2 - 2*B62*EXP(-0.5*B62) + 0.5*B62^2*EXP(-0.5*B62) - 3</f>
        <v>16.30625696667537</v>
      </c>
      <c r="E62" s="1">
        <f>B62 - C62/D62</f>
        <v>2.0525701828941614</v>
      </c>
      <c r="F62" s="1">
        <f>ABS(E62-B62)</f>
        <v>0.51742452692514362</v>
      </c>
    </row>
    <row r="63" spans="1:6" x14ac:dyDescent="0.25">
      <c r="A63" s="1">
        <f t="shared" ref="A63:A71" si="14">A62+1</f>
        <v>2</v>
      </c>
      <c r="B63" s="1">
        <f t="shared" ref="B63:B71" si="15">E62</f>
        <v>2.0525701828941614</v>
      </c>
      <c r="C63" s="1">
        <f t="shared" si="12"/>
        <v>1.9801745808675388</v>
      </c>
      <c r="D63" s="1">
        <f t="shared" si="13"/>
        <v>8.92295686911954</v>
      </c>
      <c r="E63" s="1">
        <f t="shared" ref="E63:E71" si="16">B63 - C63/D63</f>
        <v>1.8306510803015552</v>
      </c>
      <c r="F63" s="1">
        <f t="shared" ref="F63:F71" si="17">ABS(E63-B63)</f>
        <v>0.22191910259260617</v>
      </c>
    </row>
    <row r="64" spans="1:6" x14ac:dyDescent="0.25">
      <c r="A64" s="1">
        <f t="shared" si="14"/>
        <v>3</v>
      </c>
      <c r="B64" s="1">
        <f t="shared" si="15"/>
        <v>1.8306510803015552</v>
      </c>
      <c r="C64" s="1">
        <f t="shared" si="12"/>
        <v>0.30126946695445334</v>
      </c>
      <c r="D64" s="1">
        <f t="shared" si="13"/>
        <v>6.258818957441914</v>
      </c>
      <c r="E64" s="1">
        <f t="shared" si="16"/>
        <v>1.78251588594572</v>
      </c>
      <c r="F64" s="1">
        <f t="shared" si="17"/>
        <v>4.8135194355835242E-2</v>
      </c>
    </row>
    <row r="65" spans="1:6" x14ac:dyDescent="0.25">
      <c r="A65" s="1">
        <f t="shared" si="14"/>
        <v>4</v>
      </c>
      <c r="B65" s="1">
        <f t="shared" si="15"/>
        <v>1.78251588594572</v>
      </c>
      <c r="C65" s="1">
        <f t="shared" si="12"/>
        <v>1.2990145931857988E-2</v>
      </c>
      <c r="D65" s="1">
        <f t="shared" si="13"/>
        <v>5.7215093226282434</v>
      </c>
      <c r="E65" s="1">
        <f t="shared" si="16"/>
        <v>1.7802454804985974</v>
      </c>
      <c r="F65" s="1">
        <f t="shared" si="17"/>
        <v>2.2704054471225366E-3</v>
      </c>
    </row>
    <row r="66" spans="1:6" x14ac:dyDescent="0.25">
      <c r="A66" s="1">
        <f t="shared" si="14"/>
        <v>5</v>
      </c>
      <c r="B66" s="1">
        <f t="shared" si="15"/>
        <v>1.7802454804985974</v>
      </c>
      <c r="C66" s="1">
        <f t="shared" si="12"/>
        <v>2.8367623070124637E-5</v>
      </c>
      <c r="D66" s="1">
        <f t="shared" si="13"/>
        <v>5.696525695648111</v>
      </c>
      <c r="E66" s="1">
        <f t="shared" si="16"/>
        <v>1.7802405006872903</v>
      </c>
      <c r="F66" s="1">
        <f t="shared" si="17"/>
        <v>4.9798113070931294E-6</v>
      </c>
    </row>
    <row r="67" spans="1:6" x14ac:dyDescent="0.25">
      <c r="A67" s="1">
        <f t="shared" si="14"/>
        <v>6</v>
      </c>
      <c r="B67" s="1">
        <f t="shared" si="15"/>
        <v>1.7802405006872903</v>
      </c>
      <c r="C67" s="1">
        <f t="shared" si="12"/>
        <v>1.3635315099236323E-10</v>
      </c>
      <c r="D67" s="1">
        <f t="shared" si="13"/>
        <v>5.6964709332959629</v>
      </c>
      <c r="E67" s="1">
        <f t="shared" si="16"/>
        <v>1.7802405006633539</v>
      </c>
      <c r="F67" s="1">
        <f t="shared" si="17"/>
        <v>2.3936408410918375E-11</v>
      </c>
    </row>
    <row r="68" spans="1:6" x14ac:dyDescent="0.25">
      <c r="A68" s="1">
        <f t="shared" si="14"/>
        <v>7</v>
      </c>
      <c r="B68" s="1">
        <f t="shared" si="15"/>
        <v>1.7802405006633539</v>
      </c>
      <c r="C68" s="1">
        <f t="shared" si="12"/>
        <v>0</v>
      </c>
      <c r="D68" s="1">
        <f t="shared" si="13"/>
        <v>5.696470933032737</v>
      </c>
      <c r="E68" s="1">
        <f t="shared" si="16"/>
        <v>1.7802405006633539</v>
      </c>
      <c r="F68" s="1">
        <f t="shared" si="17"/>
        <v>0</v>
      </c>
    </row>
    <row r="69" spans="1:6" x14ac:dyDescent="0.25">
      <c r="A69" s="1">
        <f t="shared" si="14"/>
        <v>8</v>
      </c>
      <c r="B69" s="1">
        <f t="shared" si="15"/>
        <v>1.7802405006633539</v>
      </c>
      <c r="C69" s="1">
        <f t="shared" si="12"/>
        <v>0</v>
      </c>
      <c r="D69" s="1">
        <f t="shared" si="13"/>
        <v>5.696470933032737</v>
      </c>
      <c r="E69" s="1">
        <f t="shared" si="16"/>
        <v>1.7802405006633539</v>
      </c>
      <c r="F69" s="1">
        <f t="shared" si="17"/>
        <v>0</v>
      </c>
    </row>
    <row r="70" spans="1:6" x14ac:dyDescent="0.25">
      <c r="A70" s="1">
        <f t="shared" si="14"/>
        <v>9</v>
      </c>
      <c r="B70" s="1">
        <f t="shared" si="15"/>
        <v>1.7802405006633539</v>
      </c>
      <c r="C70" s="1">
        <f t="shared" si="12"/>
        <v>0</v>
      </c>
      <c r="D70" s="1">
        <f t="shared" si="13"/>
        <v>5.696470933032737</v>
      </c>
      <c r="E70" s="1">
        <f t="shared" si="16"/>
        <v>1.7802405006633539</v>
      </c>
      <c r="F70" s="1">
        <f t="shared" si="17"/>
        <v>0</v>
      </c>
    </row>
    <row r="71" spans="1:6" x14ac:dyDescent="0.25">
      <c r="A71" s="1">
        <f t="shared" si="14"/>
        <v>10</v>
      </c>
      <c r="B71" s="1">
        <f t="shared" si="15"/>
        <v>1.7802405006633539</v>
      </c>
      <c r="C71" s="1">
        <f t="shared" si="12"/>
        <v>0</v>
      </c>
      <c r="D71" s="1">
        <f>3*B71^2 - 2*B71*EXP(-0.5*B71) + 0.5*B71^2*EXP(-0.5*B71) - 3</f>
        <v>5.696470933032737</v>
      </c>
      <c r="E71" s="1">
        <f t="shared" si="16"/>
        <v>1.7802405006633539</v>
      </c>
      <c r="F71" s="1">
        <f t="shared" si="17"/>
        <v>0</v>
      </c>
    </row>
    <row r="78" spans="1:6" x14ac:dyDescent="0.25">
      <c r="A78" s="4" t="s">
        <v>0</v>
      </c>
      <c r="B78" s="3" t="s">
        <v>21</v>
      </c>
      <c r="C78" s="3"/>
    </row>
    <row r="79" spans="1:6" x14ac:dyDescent="0.25">
      <c r="A79" s="4" t="s">
        <v>1</v>
      </c>
      <c r="B79" s="3" t="s">
        <v>25</v>
      </c>
      <c r="C79" s="3"/>
    </row>
    <row r="80" spans="1:6" x14ac:dyDescent="0.25">
      <c r="A80" s="4" t="s">
        <v>2</v>
      </c>
      <c r="B80" s="3">
        <v>1E-4</v>
      </c>
      <c r="C80" s="3"/>
    </row>
    <row r="81" spans="1:6" x14ac:dyDescent="0.25">
      <c r="A81" s="4" t="s">
        <v>24</v>
      </c>
      <c r="B81" s="5">
        <v>3.5</v>
      </c>
      <c r="C81" s="5"/>
    </row>
    <row r="84" spans="1:6" x14ac:dyDescent="0.25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20</v>
      </c>
      <c r="F84" s="4" t="s">
        <v>13</v>
      </c>
    </row>
    <row r="85" spans="1:6" x14ac:dyDescent="0.25">
      <c r="A85" s="1">
        <v>0</v>
      </c>
      <c r="B85" s="1">
        <f>$B$81</f>
        <v>3.5</v>
      </c>
      <c r="C85" s="1">
        <f>COS(B85)^2 - 0.5*B85*EXP(0.3*B85) + 5</f>
        <v>0.87606167056111595</v>
      </c>
      <c r="D85" s="1">
        <f>-2*COS(B85)*SIN(B85) - 0.5*EXP(0.3*B85) - 0.15*B85*EXP(0.3*B85)</f>
        <v>-3.5860789947335316</v>
      </c>
      <c r="E85" s="1">
        <f>B85 - C85/D85</f>
        <v>3.7442951401370936</v>
      </c>
      <c r="F85" s="1">
        <f>ABS(E85-B85)</f>
        <v>0.24429514013709364</v>
      </c>
    </row>
    <row r="86" spans="1:6" x14ac:dyDescent="0.25">
      <c r="A86" s="1">
        <f>A85+1</f>
        <v>1</v>
      </c>
      <c r="B86" s="1">
        <f>E85</f>
        <v>3.7442951401370936</v>
      </c>
      <c r="C86" s="1">
        <f t="shared" ref="C86:C95" si="18">COS(B86)^2 - 0.5*B86*EXP(0.3*B86) + 5</f>
        <v>-7.8102181147251315E-2</v>
      </c>
      <c r="D86" s="1">
        <f t="shared" ref="D86:D95" si="19">-2*COS(B86)*SIN(B86) - 0.5*EXP(0.3*B86) - 0.15*B86*EXP(0.3*B86)</f>
        <v>-4.1984867244486175</v>
      </c>
      <c r="E86" s="1">
        <f>B86 - C86/D86</f>
        <v>3.7256926801858814</v>
      </c>
      <c r="F86" s="1">
        <f>ABS(E86-B86)</f>
        <v>1.8602459951212236E-2</v>
      </c>
    </row>
    <row r="87" spans="1:6" x14ac:dyDescent="0.25">
      <c r="A87" s="1">
        <f t="shared" ref="A87:A95" si="20">A86+1</f>
        <v>2</v>
      </c>
      <c r="B87" s="1">
        <f t="shared" ref="B87:B95" si="21">E86</f>
        <v>3.7256926801858814</v>
      </c>
      <c r="C87" s="1">
        <f t="shared" si="18"/>
        <v>-3.7629175216125077E-4</v>
      </c>
      <c r="D87" s="1">
        <f t="shared" si="19"/>
        <v>-4.1578494960558432</v>
      </c>
      <c r="E87" s="1">
        <f t="shared" ref="E87:E95" si="22">B87 - C87/D87</f>
        <v>3.7256021786531734</v>
      </c>
      <c r="F87" s="1">
        <f t="shared" ref="F87:F95" si="23">ABS(E87-B87)</f>
        <v>9.0501532707953913E-5</v>
      </c>
    </row>
    <row r="88" spans="1:6" x14ac:dyDescent="0.25">
      <c r="A88" s="1">
        <f t="shared" si="20"/>
        <v>3</v>
      </c>
      <c r="B88" s="1">
        <f t="shared" si="21"/>
        <v>3.7256021786531734</v>
      </c>
      <c r="C88" s="1">
        <f t="shared" si="18"/>
        <v>-9.0657943374594652E-9</v>
      </c>
      <c r="D88" s="1">
        <f t="shared" si="19"/>
        <v>-4.1576491461214058</v>
      </c>
      <c r="E88" s="1">
        <f t="shared" si="22"/>
        <v>3.7256021764726639</v>
      </c>
      <c r="F88" s="1">
        <f t="shared" si="23"/>
        <v>2.1805095506977068E-9</v>
      </c>
    </row>
    <row r="89" spans="1:6" x14ac:dyDescent="0.25">
      <c r="A89" s="1">
        <f t="shared" si="20"/>
        <v>4</v>
      </c>
      <c r="B89" s="1">
        <f t="shared" si="21"/>
        <v>3.7256021764726639</v>
      </c>
      <c r="C89" s="1">
        <f t="shared" si="18"/>
        <v>0</v>
      </c>
      <c r="D89" s="1">
        <f t="shared" si="19"/>
        <v>-4.1576491412939429</v>
      </c>
      <c r="E89" s="1">
        <f t="shared" si="22"/>
        <v>3.7256021764726639</v>
      </c>
      <c r="F89" s="1">
        <f t="shared" si="23"/>
        <v>0</v>
      </c>
    </row>
    <row r="90" spans="1:6" x14ac:dyDescent="0.25">
      <c r="A90" s="1">
        <f t="shared" si="20"/>
        <v>5</v>
      </c>
      <c r="B90" s="1">
        <f t="shared" si="21"/>
        <v>3.7256021764726639</v>
      </c>
      <c r="C90" s="1">
        <f t="shared" si="18"/>
        <v>0</v>
      </c>
      <c r="D90" s="1">
        <f t="shared" si="19"/>
        <v>-4.1576491412939429</v>
      </c>
      <c r="E90" s="1">
        <f t="shared" si="22"/>
        <v>3.7256021764726639</v>
      </c>
      <c r="F90" s="1">
        <f t="shared" si="23"/>
        <v>0</v>
      </c>
    </row>
    <row r="91" spans="1:6" x14ac:dyDescent="0.25">
      <c r="A91" s="1">
        <f t="shared" si="20"/>
        <v>6</v>
      </c>
      <c r="B91" s="1">
        <f t="shared" si="21"/>
        <v>3.7256021764726639</v>
      </c>
      <c r="C91" s="1">
        <f t="shared" si="18"/>
        <v>0</v>
      </c>
      <c r="D91" s="1">
        <f t="shared" si="19"/>
        <v>-4.1576491412939429</v>
      </c>
      <c r="E91" s="1">
        <f t="shared" si="22"/>
        <v>3.7256021764726639</v>
      </c>
      <c r="F91" s="1">
        <f t="shared" si="23"/>
        <v>0</v>
      </c>
    </row>
    <row r="92" spans="1:6" x14ac:dyDescent="0.25">
      <c r="A92" s="1">
        <f t="shared" si="20"/>
        <v>7</v>
      </c>
      <c r="B92" s="1">
        <f t="shared" si="21"/>
        <v>3.7256021764726639</v>
      </c>
      <c r="C92" s="1">
        <f t="shared" si="18"/>
        <v>0</v>
      </c>
      <c r="D92" s="1">
        <f t="shared" si="19"/>
        <v>-4.1576491412939429</v>
      </c>
      <c r="E92" s="1">
        <f t="shared" si="22"/>
        <v>3.7256021764726639</v>
      </c>
      <c r="F92" s="1">
        <f t="shared" si="23"/>
        <v>0</v>
      </c>
    </row>
    <row r="93" spans="1:6" x14ac:dyDescent="0.25">
      <c r="A93" s="1">
        <f t="shared" si="20"/>
        <v>8</v>
      </c>
      <c r="B93" s="1">
        <f t="shared" si="21"/>
        <v>3.7256021764726639</v>
      </c>
      <c r="C93" s="1">
        <f t="shared" si="18"/>
        <v>0</v>
      </c>
      <c r="D93" s="1">
        <f t="shared" si="19"/>
        <v>-4.1576491412939429</v>
      </c>
      <c r="E93" s="1">
        <f t="shared" si="22"/>
        <v>3.7256021764726639</v>
      </c>
      <c r="F93" s="1">
        <f t="shared" si="23"/>
        <v>0</v>
      </c>
    </row>
    <row r="94" spans="1:6" x14ac:dyDescent="0.25">
      <c r="A94" s="1">
        <f t="shared" si="20"/>
        <v>9</v>
      </c>
      <c r="B94" s="1">
        <f t="shared" si="21"/>
        <v>3.7256021764726639</v>
      </c>
      <c r="C94" s="1">
        <f t="shared" si="18"/>
        <v>0</v>
      </c>
      <c r="D94" s="1">
        <f t="shared" si="19"/>
        <v>-4.1576491412939429</v>
      </c>
      <c r="E94" s="1">
        <f t="shared" si="22"/>
        <v>3.7256021764726639</v>
      </c>
      <c r="F94" s="1">
        <f t="shared" si="23"/>
        <v>0</v>
      </c>
    </row>
    <row r="95" spans="1:6" x14ac:dyDescent="0.25">
      <c r="A95" s="1">
        <f t="shared" si="20"/>
        <v>10</v>
      </c>
      <c r="B95" s="1">
        <f t="shared" si="21"/>
        <v>3.7256021764726639</v>
      </c>
      <c r="C95" s="1">
        <f t="shared" si="18"/>
        <v>0</v>
      </c>
      <c r="D95" s="1">
        <f t="shared" si="19"/>
        <v>-4.1576491412939429</v>
      </c>
      <c r="E95" s="1">
        <f t="shared" si="22"/>
        <v>3.7256021764726639</v>
      </c>
      <c r="F95" s="1">
        <f t="shared" si="23"/>
        <v>0</v>
      </c>
    </row>
  </sheetData>
  <mergeCells count="16">
    <mergeCell ref="B78:C78"/>
    <mergeCell ref="B79:C79"/>
    <mergeCell ref="B80:C80"/>
    <mergeCell ref="B81:C81"/>
    <mergeCell ref="B32:C32"/>
    <mergeCell ref="B33:C33"/>
    <mergeCell ref="B54:C54"/>
    <mergeCell ref="B55:C55"/>
    <mergeCell ref="B56:C56"/>
    <mergeCell ref="B57:C57"/>
    <mergeCell ref="B7:C7"/>
    <mergeCell ref="B8:C8"/>
    <mergeCell ref="B9:C9"/>
    <mergeCell ref="B10:C10"/>
    <mergeCell ref="B30:C30"/>
    <mergeCell ref="B31:C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20A4-8985-4CE5-A75D-8D28D952A333}">
  <dimension ref="A7:G104"/>
  <sheetViews>
    <sheetView tabSelected="1" topLeftCell="A19" workbookViewId="0">
      <selection activeCell="K14" sqref="K14"/>
    </sheetView>
  </sheetViews>
  <sheetFormatPr baseColWidth="10" defaultRowHeight="15" x14ac:dyDescent="0.25"/>
  <cols>
    <col min="4" max="4" width="12.7109375" bestFit="1" customWidth="1"/>
    <col min="5" max="5" width="12.7109375" customWidth="1"/>
    <col min="7" max="7" width="13.42578125" customWidth="1"/>
  </cols>
  <sheetData>
    <row r="7" spans="1:7" x14ac:dyDescent="0.25">
      <c r="A7" s="4" t="s">
        <v>0</v>
      </c>
      <c r="B7" s="3" t="s">
        <v>5</v>
      </c>
      <c r="C7" s="3"/>
    </row>
    <row r="8" spans="1:7" x14ac:dyDescent="0.25">
      <c r="A8" s="4" t="s">
        <v>1</v>
      </c>
      <c r="B8" s="3" t="s">
        <v>32</v>
      </c>
      <c r="C8" s="3"/>
    </row>
    <row r="9" spans="1:7" x14ac:dyDescent="0.25">
      <c r="A9" s="4" t="s">
        <v>2</v>
      </c>
      <c r="B9" s="3">
        <v>1E-4</v>
      </c>
      <c r="C9" s="3"/>
    </row>
    <row r="10" spans="1:7" x14ac:dyDescent="0.25">
      <c r="A10" s="4" t="s">
        <v>27</v>
      </c>
      <c r="B10" s="5">
        <v>3</v>
      </c>
      <c r="C10" s="5"/>
    </row>
    <row r="11" spans="1:7" x14ac:dyDescent="0.25">
      <c r="A11" s="4" t="s">
        <v>28</v>
      </c>
      <c r="B11" s="5">
        <v>4</v>
      </c>
      <c r="C11" s="5"/>
    </row>
    <row r="13" spans="1:7" x14ac:dyDescent="0.25">
      <c r="A13" s="4" t="s">
        <v>7</v>
      </c>
      <c r="B13" s="4" t="s">
        <v>27</v>
      </c>
      <c r="C13" s="4" t="s">
        <v>28</v>
      </c>
      <c r="D13" s="4" t="s">
        <v>29</v>
      </c>
      <c r="E13" s="4" t="s">
        <v>30</v>
      </c>
      <c r="F13" s="4" t="s">
        <v>31</v>
      </c>
      <c r="G13" s="4" t="s">
        <v>13</v>
      </c>
    </row>
    <row r="14" spans="1:7" x14ac:dyDescent="0.25">
      <c r="A14" s="1">
        <v>0</v>
      </c>
      <c r="B14" s="1">
        <f>$B$10</f>
        <v>3</v>
      </c>
      <c r="C14" s="1">
        <f>$B$11</f>
        <v>4</v>
      </c>
      <c r="D14" s="1">
        <f>B14^3 - EXP(0.8*B14) - 20</f>
        <v>-4.0231763806416048</v>
      </c>
      <c r="E14" s="1">
        <f>C14^3 - EXP(0.8*C14) - 20</f>
        <v>19.467469802890648</v>
      </c>
      <c r="F14" s="1">
        <f>C14 - E14*(C14-B14)/(E14-D14)</f>
        <v>3.1712671652030582</v>
      </c>
      <c r="G14" s="1">
        <f>ABS(F14-C14)</f>
        <v>0.82873283479694182</v>
      </c>
    </row>
    <row r="15" spans="1:7" x14ac:dyDescent="0.25">
      <c r="A15" s="1">
        <f>A14+1</f>
        <v>1</v>
      </c>
      <c r="B15" s="1">
        <f>C14</f>
        <v>4</v>
      </c>
      <c r="C15" s="1">
        <f>F14</f>
        <v>3.1712671652030582</v>
      </c>
      <c r="D15" s="1">
        <f>B15^3 - EXP(0.8*B15) - 20</f>
        <v>19.467469802890648</v>
      </c>
      <c r="E15" s="1">
        <f>C15^3 - EXP(0.8*C15) - 20</f>
        <v>-0.74863343680182481</v>
      </c>
      <c r="F15" s="1">
        <f>C15 - E15*(C15-B15)/(E15-D15)</f>
        <v>3.2019564183666658</v>
      </c>
      <c r="G15" s="1">
        <f>ABS(F15-C15)</f>
        <v>3.0689253163607599E-2</v>
      </c>
    </row>
    <row r="16" spans="1:7" x14ac:dyDescent="0.25">
      <c r="A16" s="1">
        <f t="shared" ref="A16:A22" si="0">A15+1</f>
        <v>2</v>
      </c>
      <c r="B16" s="1">
        <f t="shared" ref="B16:B22" si="1">C15</f>
        <v>3.1712671652030582</v>
      </c>
      <c r="C16" s="1">
        <f t="shared" ref="C16:C22" si="2">F15</f>
        <v>3.2019564183666658</v>
      </c>
      <c r="D16" s="1">
        <f t="shared" ref="D16:D22" si="3">B16^3 - EXP(0.8*B16) - 20</f>
        <v>-0.74863343680182481</v>
      </c>
      <c r="E16" s="1">
        <f t="shared" ref="E16:E22" si="4">C16^3 - EXP(0.8*C16) - 20</f>
        <v>-0.12794153995860569</v>
      </c>
      <c r="F16" s="1">
        <f t="shared" ref="F16:F22" si="5">C16 - E16*(C16-B16)/(E16-D16)</f>
        <v>3.2082823110195275</v>
      </c>
      <c r="G16" s="1">
        <f t="shared" ref="G16:G22" si="6">ABS(F16-C16)</f>
        <v>6.3258926528617643E-3</v>
      </c>
    </row>
    <row r="17" spans="1:7" x14ac:dyDescent="0.25">
      <c r="A17" s="1">
        <f t="shared" si="0"/>
        <v>3</v>
      </c>
      <c r="B17" s="1">
        <f t="shared" si="1"/>
        <v>3.2019564183666658</v>
      </c>
      <c r="C17" s="1">
        <f t="shared" si="2"/>
        <v>3.2082823110195275</v>
      </c>
      <c r="D17" s="1">
        <f t="shared" si="3"/>
        <v>-0.12794153995860569</v>
      </c>
      <c r="E17" s="1">
        <f t="shared" si="4"/>
        <v>1.2790238789150976E-3</v>
      </c>
      <c r="F17" s="1">
        <f t="shared" si="5"/>
        <v>3.208219697395827</v>
      </c>
      <c r="G17" s="1">
        <f t="shared" si="6"/>
        <v>6.2613623700524812E-5</v>
      </c>
    </row>
    <row r="18" spans="1:7" x14ac:dyDescent="0.25">
      <c r="A18" s="1">
        <f t="shared" si="0"/>
        <v>4</v>
      </c>
      <c r="B18" s="1">
        <f t="shared" si="1"/>
        <v>3.2082823110195275</v>
      </c>
      <c r="C18" s="1">
        <f t="shared" si="2"/>
        <v>3.208219697395827</v>
      </c>
      <c r="D18" s="1">
        <f t="shared" si="3"/>
        <v>1.2790238789150976E-3</v>
      </c>
      <c r="E18" s="1">
        <f t="shared" si="4"/>
        <v>-2.1406681440794273E-6</v>
      </c>
      <c r="F18" s="1">
        <f t="shared" si="5"/>
        <v>3.2082198020154795</v>
      </c>
      <c r="G18" s="1">
        <f t="shared" si="6"/>
        <v>1.0461965249675131E-7</v>
      </c>
    </row>
    <row r="19" spans="1:7" x14ac:dyDescent="0.25">
      <c r="A19" s="1">
        <f t="shared" si="0"/>
        <v>5</v>
      </c>
      <c r="B19" s="1">
        <f t="shared" si="1"/>
        <v>3.208219697395827</v>
      </c>
      <c r="C19" s="1">
        <f t="shared" si="2"/>
        <v>3.2082198020154795</v>
      </c>
      <c r="D19" s="1">
        <f t="shared" si="3"/>
        <v>-2.1406681440794273E-6</v>
      </c>
      <c r="E19" s="1">
        <f t="shared" si="4"/>
        <v>-3.5687008903551032E-11</v>
      </c>
      <c r="F19" s="1">
        <f t="shared" si="5"/>
        <v>3.2082198020172235</v>
      </c>
      <c r="G19" s="1">
        <f t="shared" si="6"/>
        <v>1.7439383270811959E-12</v>
      </c>
    </row>
    <row r="20" spans="1:7" x14ac:dyDescent="0.25">
      <c r="A20" s="1">
        <f t="shared" si="0"/>
        <v>6</v>
      </c>
      <c r="B20" s="1">
        <f t="shared" si="1"/>
        <v>3.2082198020154795</v>
      </c>
      <c r="C20" s="1">
        <f t="shared" si="2"/>
        <v>3.2082198020172235</v>
      </c>
      <c r="D20" s="1">
        <f t="shared" si="3"/>
        <v>-3.5687008903551032E-11</v>
      </c>
      <c r="E20" s="1">
        <f t="shared" si="4"/>
        <v>0</v>
      </c>
      <c r="F20" s="1">
        <f t="shared" si="5"/>
        <v>3.2082198020172235</v>
      </c>
      <c r="G20" s="1">
        <f t="shared" si="6"/>
        <v>0</v>
      </c>
    </row>
    <row r="21" spans="1:7" x14ac:dyDescent="0.25">
      <c r="A21" s="1">
        <f t="shared" si="0"/>
        <v>7</v>
      </c>
      <c r="B21" s="1">
        <f t="shared" si="1"/>
        <v>3.2082198020172235</v>
      </c>
      <c r="C21" s="1">
        <f t="shared" si="2"/>
        <v>3.2082198020172235</v>
      </c>
      <c r="D21" s="1">
        <f t="shared" si="3"/>
        <v>0</v>
      </c>
      <c r="E21" s="1">
        <f t="shared" si="4"/>
        <v>0</v>
      </c>
      <c r="F21" s="1" t="e">
        <f>C21 - E21*(C21-B21)/(E21-D21)</f>
        <v>#DIV/0!</v>
      </c>
      <c r="G21" s="1" t="e">
        <f t="shared" si="6"/>
        <v>#DIV/0!</v>
      </c>
    </row>
    <row r="22" spans="1:7" x14ac:dyDescent="0.25">
      <c r="A22" s="1">
        <f t="shared" si="0"/>
        <v>8</v>
      </c>
      <c r="B22" s="1">
        <f t="shared" si="1"/>
        <v>3.2082198020172235</v>
      </c>
      <c r="C22" s="1" t="e">
        <f t="shared" si="2"/>
        <v>#DIV/0!</v>
      </c>
      <c r="D22" s="1">
        <f t="shared" si="3"/>
        <v>0</v>
      </c>
      <c r="E22" s="1" t="e">
        <f t="shared" si="4"/>
        <v>#DIV/0!</v>
      </c>
      <c r="F22" s="1" t="e">
        <f t="shared" si="5"/>
        <v>#DIV/0!</v>
      </c>
      <c r="G22" s="1" t="e">
        <f t="shared" si="6"/>
        <v>#DIV/0!</v>
      </c>
    </row>
    <row r="29" spans="1:7" x14ac:dyDescent="0.25">
      <c r="A29" s="4" t="s">
        <v>0</v>
      </c>
      <c r="B29" s="3" t="s">
        <v>23</v>
      </c>
      <c r="C29" s="3"/>
    </row>
    <row r="30" spans="1:7" x14ac:dyDescent="0.25">
      <c r="A30" s="4" t="s">
        <v>1</v>
      </c>
      <c r="B30" s="3" t="s">
        <v>32</v>
      </c>
      <c r="C30" s="3"/>
    </row>
    <row r="31" spans="1:7" x14ac:dyDescent="0.25">
      <c r="A31" s="4" t="s">
        <v>2</v>
      </c>
      <c r="B31" s="3">
        <v>1E-4</v>
      </c>
      <c r="C31" s="3"/>
    </row>
    <row r="32" spans="1:7" x14ac:dyDescent="0.25">
      <c r="A32" s="4" t="s">
        <v>27</v>
      </c>
      <c r="B32" s="5">
        <v>5</v>
      </c>
      <c r="C32" s="5"/>
    </row>
    <row r="33" spans="1:7" x14ac:dyDescent="0.25">
      <c r="A33" s="4" t="s">
        <v>28</v>
      </c>
      <c r="B33" s="5">
        <v>8</v>
      </c>
      <c r="C33" s="5"/>
    </row>
    <row r="35" spans="1:7" x14ac:dyDescent="0.25">
      <c r="A35" s="4" t="s">
        <v>7</v>
      </c>
      <c r="B35" s="4" t="s">
        <v>27</v>
      </c>
      <c r="C35" s="4" t="s">
        <v>28</v>
      </c>
      <c r="D35" s="4" t="s">
        <v>29</v>
      </c>
      <c r="E35" s="4" t="s">
        <v>30</v>
      </c>
      <c r="F35" s="4" t="s">
        <v>31</v>
      </c>
      <c r="G35" s="4" t="s">
        <v>13</v>
      </c>
    </row>
    <row r="36" spans="1:7" x14ac:dyDescent="0.25">
      <c r="A36" s="1">
        <v>0</v>
      </c>
      <c r="B36" s="1">
        <f>$B$32</f>
        <v>5</v>
      </c>
      <c r="C36" s="1">
        <f>$B$33</f>
        <v>8</v>
      </c>
      <c r="D36" s="1">
        <f>3*SIN(0.5*B36) - 0.5*B36 + 2</f>
        <v>1.2954164323118698</v>
      </c>
      <c r="E36" s="1">
        <f>3*SIN(0.5*C36) - 0.5*C36 + 2</f>
        <v>-4.2704074859237844</v>
      </c>
      <c r="F36" s="1">
        <f>C36 - E36*(C36-B36)/(E36-D36)</f>
        <v>5.6982343232603618</v>
      </c>
      <c r="G36" s="1">
        <f>ABS(F36-C36)</f>
        <v>2.3017656767396382</v>
      </c>
    </row>
    <row r="37" spans="1:7" x14ac:dyDescent="0.25">
      <c r="A37" s="1">
        <f>A36+1</f>
        <v>1</v>
      </c>
      <c r="B37" s="1">
        <f>C36</f>
        <v>8</v>
      </c>
      <c r="C37" s="1">
        <f>F36</f>
        <v>5.6982343232603618</v>
      </c>
      <c r="D37" s="1">
        <f t="shared" ref="D37:D44" si="7">3*SIN(0.5*B37) - 0.5*B37 + 2</f>
        <v>-4.2704074859237844</v>
      </c>
      <c r="E37" s="1">
        <f t="shared" ref="E37:E44" si="8">3*SIN(0.5*C37) - 0.5*C37 + 2</f>
        <v>1.585325294616724E-2</v>
      </c>
      <c r="F37" s="1">
        <f>C37 - E37*(C37-B37)/(E37-D37)</f>
        <v>5.7067476815741118</v>
      </c>
      <c r="G37" s="1">
        <f>ABS(F37-C37)</f>
        <v>8.5133583137499969E-3</v>
      </c>
    </row>
    <row r="38" spans="1:7" x14ac:dyDescent="0.25">
      <c r="A38" s="1">
        <f t="shared" ref="A38:A44" si="9">A37+1</f>
        <v>2</v>
      </c>
      <c r="B38" s="1">
        <f t="shared" ref="B38:B44" si="10">C37</f>
        <v>5.6982343232603618</v>
      </c>
      <c r="C38" s="1">
        <f t="shared" ref="C38:C44" si="11">F37</f>
        <v>5.7067476815741118</v>
      </c>
      <c r="D38" s="1">
        <f t="shared" si="7"/>
        <v>1.585325294616724E-2</v>
      </c>
      <c r="E38" s="1">
        <f t="shared" si="8"/>
        <v>-6.3895876338815327E-4</v>
      </c>
      <c r="F38" s="1">
        <f t="shared" ref="F38:F42" si="12">C38 - E38*(C38-B38)/(E38-D38)</f>
        <v>5.7064178480141123</v>
      </c>
      <c r="G38" s="1">
        <f t="shared" ref="G38:G44" si="13">ABS(F38-C38)</f>
        <v>3.2983355999949282E-4</v>
      </c>
    </row>
    <row r="39" spans="1:7" x14ac:dyDescent="0.25">
      <c r="A39" s="1">
        <f t="shared" si="9"/>
        <v>3</v>
      </c>
      <c r="B39" s="1">
        <f t="shared" si="10"/>
        <v>5.7067476815741118</v>
      </c>
      <c r="C39" s="1">
        <f t="shared" si="11"/>
        <v>5.7064178480141123</v>
      </c>
      <c r="D39" s="1">
        <f t="shared" si="7"/>
        <v>-6.3895876338815327E-4</v>
      </c>
      <c r="E39" s="1">
        <f t="shared" si="8"/>
        <v>2.8914272354185755E-7</v>
      </c>
      <c r="F39" s="1">
        <f t="shared" si="12"/>
        <v>5.7064179972034532</v>
      </c>
      <c r="G39" s="1">
        <f t="shared" si="13"/>
        <v>1.4918934088115066E-7</v>
      </c>
    </row>
    <row r="40" spans="1:7" x14ac:dyDescent="0.25">
      <c r="A40" s="1">
        <f t="shared" si="9"/>
        <v>4</v>
      </c>
      <c r="B40" s="1">
        <f t="shared" si="10"/>
        <v>5.7064178480141123</v>
      </c>
      <c r="C40" s="1">
        <f t="shared" si="11"/>
        <v>5.7064179972034532</v>
      </c>
      <c r="D40" s="1">
        <f t="shared" si="7"/>
        <v>2.8914272354185755E-7</v>
      </c>
      <c r="E40" s="1">
        <f t="shared" si="8"/>
        <v>5.2449156129341645E-12</v>
      </c>
      <c r="F40" s="1">
        <f t="shared" si="12"/>
        <v>5.7064179972061595</v>
      </c>
      <c r="G40" s="1">
        <f t="shared" si="13"/>
        <v>2.7062796448262816E-12</v>
      </c>
    </row>
    <row r="41" spans="1:7" x14ac:dyDescent="0.25">
      <c r="A41" s="1">
        <f t="shared" si="9"/>
        <v>5</v>
      </c>
      <c r="B41" s="1">
        <f t="shared" si="10"/>
        <v>5.7064179972034532</v>
      </c>
      <c r="C41" s="1">
        <f t="shared" si="11"/>
        <v>5.7064179972061595</v>
      </c>
      <c r="D41" s="1">
        <f t="shared" si="7"/>
        <v>5.2449156129341645E-12</v>
      </c>
      <c r="E41" s="1">
        <f t="shared" si="8"/>
        <v>0</v>
      </c>
      <c r="F41" s="1">
        <f t="shared" si="12"/>
        <v>5.7064179972061595</v>
      </c>
      <c r="G41" s="1">
        <f t="shared" si="13"/>
        <v>0</v>
      </c>
    </row>
    <row r="42" spans="1:7" x14ac:dyDescent="0.25">
      <c r="A42" s="1">
        <f t="shared" si="9"/>
        <v>6</v>
      </c>
      <c r="B42" s="1">
        <f t="shared" si="10"/>
        <v>5.7064179972061595</v>
      </c>
      <c r="C42" s="1">
        <f t="shared" si="11"/>
        <v>5.7064179972061595</v>
      </c>
      <c r="D42" s="1">
        <f t="shared" si="7"/>
        <v>0</v>
      </c>
      <c r="E42" s="1">
        <f t="shared" si="8"/>
        <v>0</v>
      </c>
      <c r="F42" s="1" t="e">
        <f t="shared" si="12"/>
        <v>#DIV/0!</v>
      </c>
      <c r="G42" s="1" t="e">
        <f t="shared" si="13"/>
        <v>#DIV/0!</v>
      </c>
    </row>
    <row r="43" spans="1:7" x14ac:dyDescent="0.25">
      <c r="A43" s="1">
        <f t="shared" si="9"/>
        <v>7</v>
      </c>
      <c r="B43" s="1">
        <f t="shared" si="10"/>
        <v>5.7064179972061595</v>
      </c>
      <c r="C43" s="1" t="e">
        <f t="shared" si="11"/>
        <v>#DIV/0!</v>
      </c>
      <c r="D43" s="1">
        <f t="shared" si="7"/>
        <v>0</v>
      </c>
      <c r="E43" s="1" t="e">
        <f t="shared" si="8"/>
        <v>#DIV/0!</v>
      </c>
      <c r="F43" s="1" t="e">
        <f>C43 - E43*(C43-B43)/(E43-D43)</f>
        <v>#DIV/0!</v>
      </c>
      <c r="G43" s="1" t="e">
        <f t="shared" si="13"/>
        <v>#DIV/0!</v>
      </c>
    </row>
    <row r="44" spans="1:7" x14ac:dyDescent="0.25">
      <c r="A44" s="1">
        <f t="shared" si="9"/>
        <v>8</v>
      </c>
      <c r="B44" s="1" t="e">
        <f t="shared" si="10"/>
        <v>#DIV/0!</v>
      </c>
      <c r="C44" s="1" t="e">
        <f t="shared" si="11"/>
        <v>#DIV/0!</v>
      </c>
      <c r="D44" s="1" t="e">
        <f t="shared" si="7"/>
        <v>#DIV/0!</v>
      </c>
      <c r="E44" s="1" t="e">
        <f t="shared" si="8"/>
        <v>#DIV/0!</v>
      </c>
      <c r="F44" s="1" t="e">
        <f t="shared" ref="F44" si="14">C44 - E44*(C44-B44)/(E44-D44)</f>
        <v>#DIV/0!</v>
      </c>
      <c r="G44" s="1" t="e">
        <f t="shared" si="13"/>
        <v>#DIV/0!</v>
      </c>
    </row>
    <row r="51" spans="1:7" x14ac:dyDescent="0.25">
      <c r="A51" s="4" t="s">
        <v>0</v>
      </c>
      <c r="B51" s="3" t="s">
        <v>22</v>
      </c>
      <c r="C51" s="3"/>
    </row>
    <row r="52" spans="1:7" x14ac:dyDescent="0.25">
      <c r="A52" s="4" t="s">
        <v>1</v>
      </c>
      <c r="B52" s="3" t="s">
        <v>32</v>
      </c>
      <c r="C52" s="3"/>
    </row>
    <row r="53" spans="1:7" x14ac:dyDescent="0.25">
      <c r="A53" s="4" t="s">
        <v>2</v>
      </c>
      <c r="B53" s="3">
        <v>1E-4</v>
      </c>
      <c r="C53" s="3"/>
    </row>
    <row r="54" spans="1:7" x14ac:dyDescent="0.25">
      <c r="A54" s="4" t="s">
        <v>27</v>
      </c>
      <c r="B54" s="5">
        <v>5</v>
      </c>
      <c r="C54" s="5"/>
    </row>
    <row r="55" spans="1:7" x14ac:dyDescent="0.25">
      <c r="A55" s="4" t="s">
        <v>28</v>
      </c>
      <c r="B55" s="5">
        <v>8</v>
      </c>
      <c r="C55" s="5"/>
    </row>
    <row r="57" spans="1:7" x14ac:dyDescent="0.25">
      <c r="A57" s="4" t="s">
        <v>7</v>
      </c>
      <c r="B57" s="4" t="s">
        <v>27</v>
      </c>
      <c r="C57" s="4" t="s">
        <v>28</v>
      </c>
      <c r="D57" s="4" t="s">
        <v>29</v>
      </c>
      <c r="E57" s="4" t="s">
        <v>30</v>
      </c>
      <c r="F57" s="4" t="s">
        <v>31</v>
      </c>
      <c r="G57" s="4" t="s">
        <v>13</v>
      </c>
    </row>
    <row r="58" spans="1:7" x14ac:dyDescent="0.25">
      <c r="A58" s="1">
        <v>0</v>
      </c>
      <c r="B58" s="1">
        <f>$B$54</f>
        <v>5</v>
      </c>
      <c r="C58" s="1">
        <f>$B$55</f>
        <v>8</v>
      </c>
      <c r="D58" s="1">
        <f>B58^3 - B58^2*EXP(-0.5*B58) - 3*B58 + 1</f>
        <v>108.94787503440253</v>
      </c>
      <c r="E58" s="1">
        <f>C58^3 - C58^2*EXP(-0.5*C58) - 3*C58 + 1</f>
        <v>487.82779911112101</v>
      </c>
      <c r="F58" s="1">
        <f>C58 - E58*(C58-B58)/(E58-D58)</f>
        <v>4.1373424551335534</v>
      </c>
      <c r="G58" s="1">
        <f>ABS(F58-C58)</f>
        <v>3.8626575448664466</v>
      </c>
    </row>
    <row r="59" spans="1:7" x14ac:dyDescent="0.25">
      <c r="A59" s="1">
        <f>A58+1</f>
        <v>1</v>
      </c>
      <c r="B59" s="1">
        <f>C58</f>
        <v>8</v>
      </c>
      <c r="C59" s="1">
        <f>F58</f>
        <v>4.1373424551335534</v>
      </c>
      <c r="D59" s="1">
        <f t="shared" ref="D59:D66" si="15">B59^3 - B59^2*EXP(-0.5*B59) - 3*B59 + 1</f>
        <v>487.82779911112101</v>
      </c>
      <c r="E59" s="1">
        <f t="shared" ref="E59:E66" si="16">C59^3 - C59^2*EXP(-0.5*C59) - 3*C59 + 1</f>
        <v>57.246486447175599</v>
      </c>
      <c r="F59" s="1">
        <f>C59 - E59*(C59-B59)/(E59-D59)</f>
        <v>3.6237958466562428</v>
      </c>
      <c r="G59" s="1">
        <f>ABS(F59-C59)</f>
        <v>0.5135466084773106</v>
      </c>
    </row>
    <row r="60" spans="1:7" x14ac:dyDescent="0.25">
      <c r="A60" s="1">
        <f t="shared" ref="A60:A66" si="17">A59+1</f>
        <v>2</v>
      </c>
      <c r="B60" s="1">
        <f t="shared" ref="B60:B71" si="18">C59</f>
        <v>4.1373424551335534</v>
      </c>
      <c r="C60" s="1">
        <f t="shared" ref="C60:C66" si="19">F59</f>
        <v>3.6237958466562428</v>
      </c>
      <c r="D60" s="1">
        <f t="shared" si="15"/>
        <v>57.246486447175599</v>
      </c>
      <c r="E60" s="1">
        <f t="shared" si="16"/>
        <v>35.570909647726182</v>
      </c>
      <c r="F60" s="1">
        <f t="shared" ref="F60:F64" si="20">C60 - E60*(C60-B60)/(E60-D60)</f>
        <v>2.7810353434844592</v>
      </c>
      <c r="G60" s="1">
        <f t="shared" ref="G60:G66" si="21">ABS(F60-C60)</f>
        <v>0.84276050317178353</v>
      </c>
    </row>
    <row r="61" spans="1:7" x14ac:dyDescent="0.25">
      <c r="A61" s="1">
        <f t="shared" si="17"/>
        <v>3</v>
      </c>
      <c r="B61" s="1">
        <f t="shared" si="18"/>
        <v>3.6237958466562428</v>
      </c>
      <c r="C61" s="1">
        <f t="shared" si="19"/>
        <v>2.7810353434844592</v>
      </c>
      <c r="D61" s="1">
        <f t="shared" si="15"/>
        <v>35.570909647726182</v>
      </c>
      <c r="E61" s="1">
        <f t="shared" si="16"/>
        <v>12.240468879003906</v>
      </c>
      <c r="F61" s="1">
        <f t="shared" si="20"/>
        <v>2.33887551402433</v>
      </c>
      <c r="G61" s="1">
        <f t="shared" si="21"/>
        <v>0.44215982946012922</v>
      </c>
    </row>
    <row r="62" spans="1:7" x14ac:dyDescent="0.25">
      <c r="A62" s="1">
        <f t="shared" si="17"/>
        <v>4</v>
      </c>
      <c r="B62" s="1">
        <f t="shared" si="18"/>
        <v>2.7810353434844592</v>
      </c>
      <c r="C62" s="1">
        <f t="shared" si="19"/>
        <v>2.33887551402433</v>
      </c>
      <c r="D62" s="1">
        <f t="shared" si="15"/>
        <v>12.240468879003906</v>
      </c>
      <c r="E62" s="1">
        <f t="shared" si="16"/>
        <v>5.0790474946706894</v>
      </c>
      <c r="F62" s="1">
        <f t="shared" si="20"/>
        <v>2.0252854243563156</v>
      </c>
      <c r="G62" s="1">
        <f t="shared" si="21"/>
        <v>0.31359008966801438</v>
      </c>
    </row>
    <row r="63" spans="1:7" x14ac:dyDescent="0.25">
      <c r="A63" s="1">
        <f t="shared" si="17"/>
        <v>5</v>
      </c>
      <c r="B63" s="1">
        <f t="shared" si="18"/>
        <v>2.33887551402433</v>
      </c>
      <c r="C63" s="1">
        <f t="shared" si="19"/>
        <v>2.0252854243563156</v>
      </c>
      <c r="D63" s="1">
        <f t="shared" si="15"/>
        <v>5.0790474946706894</v>
      </c>
      <c r="E63" s="1">
        <f t="shared" si="16"/>
        <v>1.741417451539963</v>
      </c>
      <c r="F63" s="1">
        <f t="shared" si="20"/>
        <v>1.8616689516733147</v>
      </c>
      <c r="G63" s="1">
        <f t="shared" si="21"/>
        <v>0.16361647268300095</v>
      </c>
    </row>
    <row r="64" spans="1:7" x14ac:dyDescent="0.25">
      <c r="A64" s="1">
        <f t="shared" si="17"/>
        <v>6</v>
      </c>
      <c r="B64" s="1">
        <f t="shared" si="18"/>
        <v>2.0252854243563156</v>
      </c>
      <c r="C64" s="1">
        <f t="shared" si="19"/>
        <v>1.8616689516733147</v>
      </c>
      <c r="D64" s="1">
        <f t="shared" si="15"/>
        <v>1.741417451539963</v>
      </c>
      <c r="E64" s="1">
        <f t="shared" si="16"/>
        <v>0.50087833251598202</v>
      </c>
      <c r="F64" s="1">
        <f t="shared" si="20"/>
        <v>1.7956073944415802</v>
      </c>
      <c r="G64" s="1">
        <f t="shared" si="21"/>
        <v>6.6061557231734458E-2</v>
      </c>
    </row>
    <row r="65" spans="1:7" x14ac:dyDescent="0.25">
      <c r="A65" s="1">
        <f t="shared" si="17"/>
        <v>7</v>
      </c>
      <c r="B65" s="1">
        <f t="shared" si="18"/>
        <v>1.8616689516733147</v>
      </c>
      <c r="C65" s="1">
        <f t="shared" si="19"/>
        <v>1.7956073944415802</v>
      </c>
      <c r="D65" s="1">
        <f t="shared" si="15"/>
        <v>0.50087833251598202</v>
      </c>
      <c r="E65" s="1">
        <f t="shared" si="16"/>
        <v>8.883927815601389E-2</v>
      </c>
      <c r="F65" s="1">
        <f>C65 - E65*(C65-B65)/(E65-D65)</f>
        <v>1.7813639362154037</v>
      </c>
      <c r="G65" s="1">
        <f t="shared" si="21"/>
        <v>1.4243458226176564E-2</v>
      </c>
    </row>
    <row r="66" spans="1:7" x14ac:dyDescent="0.25">
      <c r="A66" s="1">
        <f t="shared" si="17"/>
        <v>8</v>
      </c>
      <c r="B66" s="1">
        <f t="shared" si="18"/>
        <v>1.7956073944415802</v>
      </c>
      <c r="C66" s="1">
        <f t="shared" si="19"/>
        <v>1.7813639362154037</v>
      </c>
      <c r="D66" s="1">
        <f t="shared" si="15"/>
        <v>8.883927815601389E-2</v>
      </c>
      <c r="E66" s="1">
        <f t="shared" si="16"/>
        <v>6.4065590633424208E-3</v>
      </c>
      <c r="F66" s="1">
        <f t="shared" ref="F66" si="22">C66 - E66*(C66-B66)/(E66-D66)</f>
        <v>1.7802569539710151</v>
      </c>
      <c r="G66" s="1">
        <f t="shared" si="21"/>
        <v>1.1069822443885435E-3</v>
      </c>
    </row>
    <row r="67" spans="1:7" x14ac:dyDescent="0.25">
      <c r="A67" s="1">
        <f t="shared" ref="A67:A71" si="23">A66+1</f>
        <v>9</v>
      </c>
      <c r="B67" s="1">
        <f t="shared" si="18"/>
        <v>1.7813639362154037</v>
      </c>
      <c r="C67" s="1">
        <f t="shared" ref="C67:C71" si="24">F66</f>
        <v>1.7802569539710151</v>
      </c>
      <c r="D67" s="1">
        <f t="shared" ref="D67:D71" si="25">B67^3 - B67^2*EXP(-0.5*B67) - 3*B67 + 1</f>
        <v>6.4065590633424208E-3</v>
      </c>
      <c r="E67" s="1">
        <f t="shared" ref="E67:E71" si="26">C67^3 - C67^2*EXP(-0.5*C67) - 3*C67 + 1</f>
        <v>9.3727277336697057E-5</v>
      </c>
      <c r="F67" s="1">
        <f t="shared" ref="F67:F71" si="27">C67 - E67*(C67-B67)/(E67-D67)</f>
        <v>1.7802405184892307</v>
      </c>
      <c r="G67" s="1">
        <f t="shared" ref="G67:G71" si="28">ABS(F67-C67)</f>
        <v>1.6435481784426997E-5</v>
      </c>
    </row>
    <row r="68" spans="1:7" x14ac:dyDescent="0.25">
      <c r="A68" s="1">
        <f t="shared" si="23"/>
        <v>10</v>
      </c>
      <c r="B68" s="1">
        <f t="shared" si="18"/>
        <v>1.7802569539710151</v>
      </c>
      <c r="C68" s="1">
        <f t="shared" si="24"/>
        <v>1.7802405184892307</v>
      </c>
      <c r="D68" s="1">
        <f t="shared" si="25"/>
        <v>9.3727277336697057E-5</v>
      </c>
      <c r="E68" s="1">
        <f t="shared" si="26"/>
        <v>1.0154459140210292E-7</v>
      </c>
      <c r="F68" s="1">
        <f t="shared" si="27"/>
        <v>1.7802405006636368</v>
      </c>
      <c r="G68" s="1">
        <f t="shared" si="28"/>
        <v>1.7825593889853053E-8</v>
      </c>
    </row>
    <row r="69" spans="1:7" x14ac:dyDescent="0.25">
      <c r="A69" s="1">
        <f t="shared" si="23"/>
        <v>11</v>
      </c>
      <c r="B69" s="1">
        <f t="shared" si="18"/>
        <v>1.7802405184892307</v>
      </c>
      <c r="C69" s="1">
        <f t="shared" si="24"/>
        <v>1.7802405006636368</v>
      </c>
      <c r="D69" s="1">
        <f t="shared" si="25"/>
        <v>1.0154459140210292E-7</v>
      </c>
      <c r="E69" s="1">
        <f t="shared" si="26"/>
        <v>1.6120438317557273E-12</v>
      </c>
      <c r="F69" s="1">
        <f t="shared" si="27"/>
        <v>1.7802405006633539</v>
      </c>
      <c r="G69" s="1">
        <f t="shared" si="28"/>
        <v>2.8288482667448989E-13</v>
      </c>
    </row>
    <row r="70" spans="1:7" x14ac:dyDescent="0.25">
      <c r="A70" s="1">
        <f t="shared" si="23"/>
        <v>12</v>
      </c>
      <c r="B70" s="1">
        <f t="shared" si="18"/>
        <v>1.7802405006636368</v>
      </c>
      <c r="C70" s="1">
        <f t="shared" si="24"/>
        <v>1.7802405006633539</v>
      </c>
      <c r="D70" s="1">
        <f t="shared" si="25"/>
        <v>1.6120438317557273E-12</v>
      </c>
      <c r="E70" s="1">
        <f t="shared" si="26"/>
        <v>0</v>
      </c>
      <c r="F70" s="1">
        <f t="shared" si="27"/>
        <v>1.7802405006633539</v>
      </c>
      <c r="G70" s="1">
        <f t="shared" si="28"/>
        <v>0</v>
      </c>
    </row>
    <row r="71" spans="1:7" x14ac:dyDescent="0.25">
      <c r="A71" s="1"/>
      <c r="B71" s="1"/>
      <c r="C71" s="1"/>
      <c r="D71" s="1"/>
      <c r="E71" s="1"/>
      <c r="F71" s="1"/>
      <c r="G71" s="1"/>
    </row>
    <row r="77" spans="1:7" x14ac:dyDescent="0.25">
      <c r="A77" s="4" t="s">
        <v>0</v>
      </c>
      <c r="B77" s="3" t="s">
        <v>21</v>
      </c>
      <c r="C77" s="3"/>
    </row>
    <row r="78" spans="1:7" x14ac:dyDescent="0.25">
      <c r="A78" s="4" t="s">
        <v>1</v>
      </c>
      <c r="B78" s="3" t="s">
        <v>32</v>
      </c>
      <c r="C78" s="3"/>
    </row>
    <row r="79" spans="1:7" x14ac:dyDescent="0.25">
      <c r="A79" s="4" t="s">
        <v>2</v>
      </c>
      <c r="B79" s="3">
        <v>1E-4</v>
      </c>
      <c r="C79" s="3"/>
    </row>
    <row r="80" spans="1:7" x14ac:dyDescent="0.25">
      <c r="A80" s="4" t="s">
        <v>27</v>
      </c>
      <c r="B80" s="5">
        <v>3</v>
      </c>
      <c r="C80" s="5"/>
    </row>
    <row r="81" spans="1:7" x14ac:dyDescent="0.25">
      <c r="A81" s="4" t="s">
        <v>28</v>
      </c>
      <c r="B81" s="5">
        <v>4</v>
      </c>
      <c r="C81" s="5"/>
    </row>
    <row r="83" spans="1:7" x14ac:dyDescent="0.25">
      <c r="A83" s="4" t="s">
        <v>7</v>
      </c>
      <c r="B83" s="4" t="s">
        <v>27</v>
      </c>
      <c r="C83" s="4" t="s">
        <v>28</v>
      </c>
      <c r="D83" s="4" t="s">
        <v>29</v>
      </c>
      <c r="E83" s="4" t="s">
        <v>30</v>
      </c>
      <c r="F83" s="4" t="s">
        <v>31</v>
      </c>
      <c r="G83" s="4" t="s">
        <v>13</v>
      </c>
    </row>
    <row r="84" spans="1:7" x14ac:dyDescent="0.25">
      <c r="A84" s="1">
        <v>0</v>
      </c>
      <c r="B84" s="1">
        <f>$B$80</f>
        <v>3</v>
      </c>
      <c r="C84" s="1">
        <f>$B$81</f>
        <v>4</v>
      </c>
      <c r="D84" s="1">
        <f>COS(B84)^2 - 0.5*B84*EXP(33*B84) + 5</f>
        <v>-1.483354547902042E+43</v>
      </c>
      <c r="E84" s="1">
        <f>COS(C84)^2 - 0.5*C84*EXP(33*C84) + 5</f>
        <v>-4.2452337367121786E+57</v>
      </c>
      <c r="F84" s="1">
        <f>C84 - E84*(C84-B84)/(E84-D84)</f>
        <v>2.9999999999999964</v>
      </c>
      <c r="G84" s="1">
        <f>ABS(F84-C84)</f>
        <v>1.0000000000000036</v>
      </c>
    </row>
    <row r="85" spans="1:7" x14ac:dyDescent="0.25">
      <c r="A85" s="1">
        <f>A84+1</f>
        <v>1</v>
      </c>
      <c r="B85" s="1">
        <f>C84</f>
        <v>4</v>
      </c>
      <c r="C85" s="1">
        <f>F84</f>
        <v>2.9999999999999964</v>
      </c>
      <c r="D85" s="1">
        <f t="shared" ref="D85:D97" si="29">COS(B85)^2 - 0.5*B85*EXP(33*B85) + 5</f>
        <v>-4.2452337367121786E+57</v>
      </c>
      <c r="E85" s="1">
        <f t="shared" ref="E85:E97" si="30">COS(C85)^2 - 0.5*C85*EXP(33*C85) + 5</f>
        <v>-1.4833545479018717E+43</v>
      </c>
      <c r="F85" s="1">
        <f>C85 - E85*(C85-B85)/(E85-D85)</f>
        <v>2.9999999999999929</v>
      </c>
      <c r="G85" s="1">
        <f>ABS(F85-C85)</f>
        <v>3.5527136788005009E-15</v>
      </c>
    </row>
    <row r="86" spans="1:7" x14ac:dyDescent="0.25">
      <c r="A86" s="1">
        <f t="shared" ref="A86:A96" si="31">A85+1</f>
        <v>2</v>
      </c>
      <c r="B86" s="1">
        <f t="shared" ref="B86:B104" si="32">C85</f>
        <v>2.9999999999999964</v>
      </c>
      <c r="C86" s="1">
        <f t="shared" ref="C86:C96" si="33">F85</f>
        <v>2.9999999999999929</v>
      </c>
      <c r="D86" s="1">
        <f t="shared" si="29"/>
        <v>-1.4833545479018717E+43</v>
      </c>
      <c r="E86" s="1">
        <f t="shared" si="30"/>
        <v>-1.4833545479017013E+43</v>
      </c>
      <c r="F86" s="1">
        <f t="shared" ref="F86:F90" si="34">C86 - E86*(C86-B86)/(E86-D86)</f>
        <v>2.9690623635345212</v>
      </c>
      <c r="G86" s="1">
        <f t="shared" ref="G86:G96" si="35">ABS(F86-C86)</f>
        <v>3.0937636465471652E-2</v>
      </c>
    </row>
    <row r="87" spans="1:7" x14ac:dyDescent="0.25">
      <c r="A87" s="1">
        <f t="shared" si="31"/>
        <v>3</v>
      </c>
      <c r="B87" s="1">
        <f t="shared" si="32"/>
        <v>2.9999999999999929</v>
      </c>
      <c r="C87" s="1">
        <f t="shared" si="33"/>
        <v>2.9690623635345212</v>
      </c>
      <c r="D87" s="1">
        <f t="shared" si="29"/>
        <v>-1.4833545479017013E+43</v>
      </c>
      <c r="E87" s="1">
        <f t="shared" si="30"/>
        <v>-5.2887562816300407E+42</v>
      </c>
      <c r="F87" s="1">
        <f t="shared" si="34"/>
        <v>2.951919856160933</v>
      </c>
      <c r="G87" s="1">
        <f t="shared" si="35"/>
        <v>1.7142507373588245E-2</v>
      </c>
    </row>
    <row r="88" spans="1:7" x14ac:dyDescent="0.25">
      <c r="A88" s="1">
        <f t="shared" si="31"/>
        <v>4</v>
      </c>
      <c r="B88" s="1">
        <f t="shared" si="32"/>
        <v>2.9690623635345212</v>
      </c>
      <c r="C88" s="1">
        <f t="shared" si="33"/>
        <v>2.951919856160933</v>
      </c>
      <c r="D88" s="1">
        <f t="shared" si="29"/>
        <v>-5.2887562816300407E+42</v>
      </c>
      <c r="E88" s="1">
        <f t="shared" si="30"/>
        <v>-2.9864635385918208E+42</v>
      </c>
      <c r="F88" s="1">
        <f t="shared" si="34"/>
        <v>2.9296831213295045</v>
      </c>
      <c r="G88" s="1">
        <f t="shared" si="35"/>
        <v>2.2236734831428517E-2</v>
      </c>
    </row>
    <row r="89" spans="1:7" x14ac:dyDescent="0.25">
      <c r="A89" s="1">
        <f t="shared" si="31"/>
        <v>5</v>
      </c>
      <c r="B89" s="1">
        <f t="shared" si="32"/>
        <v>2.951919856160933</v>
      </c>
      <c r="C89" s="1">
        <f t="shared" si="33"/>
        <v>2.9296831213295045</v>
      </c>
      <c r="D89" s="1">
        <f t="shared" si="29"/>
        <v>-2.9864635385918208E+42</v>
      </c>
      <c r="E89" s="1">
        <f t="shared" si="30"/>
        <v>-1.422927238063841E+42</v>
      </c>
      <c r="F89" s="1">
        <f t="shared" si="34"/>
        <v>2.9094461395168292</v>
      </c>
      <c r="G89" s="1">
        <f t="shared" si="35"/>
        <v>2.0236981812675303E-2</v>
      </c>
    </row>
    <row r="90" spans="1:7" x14ac:dyDescent="0.25">
      <c r="A90" s="1">
        <f t="shared" si="31"/>
        <v>6</v>
      </c>
      <c r="B90" s="1">
        <f t="shared" si="32"/>
        <v>2.9296831213295045</v>
      </c>
      <c r="C90" s="1">
        <f t="shared" si="33"/>
        <v>2.9094461395168292</v>
      </c>
      <c r="D90" s="1">
        <f t="shared" si="29"/>
        <v>-1.422927238063841E+42</v>
      </c>
      <c r="E90" s="1">
        <f>COS(C90)^2 - 0.5*C90*EXP(33*C90) + 5</f>
        <v>-7.2467228337684802E+41</v>
      </c>
      <c r="F90" s="1">
        <f t="shared" si="34"/>
        <v>2.8884435247549747</v>
      </c>
      <c r="G90" s="1">
        <f t="shared" si="35"/>
        <v>2.1002614761854499E-2</v>
      </c>
    </row>
    <row r="91" spans="1:7" x14ac:dyDescent="0.25">
      <c r="A91" s="1">
        <f t="shared" si="31"/>
        <v>7</v>
      </c>
      <c r="B91" s="1">
        <f t="shared" si="32"/>
        <v>2.9094461395168292</v>
      </c>
      <c r="C91" s="1">
        <f t="shared" si="33"/>
        <v>2.8884435247549747</v>
      </c>
      <c r="D91" s="1">
        <f t="shared" si="29"/>
        <v>-7.2467228337684802E+41</v>
      </c>
      <c r="E91" s="1">
        <f t="shared" si="30"/>
        <v>-3.5974242666292304E+41</v>
      </c>
      <c r="F91" s="1">
        <f>C91 - E91*(C91-B91)/(E91-D91)</f>
        <v>2.8677394594073728</v>
      </c>
      <c r="G91" s="1">
        <f t="shared" si="35"/>
        <v>2.070406534760183E-2</v>
      </c>
    </row>
    <row r="92" spans="1:7" x14ac:dyDescent="0.25">
      <c r="A92" s="1">
        <f t="shared" si="31"/>
        <v>8</v>
      </c>
      <c r="B92" s="1">
        <f t="shared" si="32"/>
        <v>2.8884435247549747</v>
      </c>
      <c r="C92" s="1">
        <f t="shared" si="33"/>
        <v>2.8677394594073728</v>
      </c>
      <c r="D92" s="1">
        <f t="shared" si="29"/>
        <v>-3.5974242666292304E+41</v>
      </c>
      <c r="E92" s="1">
        <f t="shared" si="30"/>
        <v>-1.803610053606956E+41</v>
      </c>
      <c r="F92" s="1">
        <f t="shared" ref="F92:F96" si="36">C92 - E92*(C92-B92)/(E92-D92)</f>
        <v>2.8469223312229803</v>
      </c>
      <c r="G92" s="1">
        <f t="shared" si="35"/>
        <v>2.0817128184392519E-2</v>
      </c>
    </row>
    <row r="93" spans="1:7" x14ac:dyDescent="0.25">
      <c r="A93" s="1">
        <f t="shared" si="31"/>
        <v>9</v>
      </c>
      <c r="B93" s="1">
        <f t="shared" si="32"/>
        <v>2.8677394594073728</v>
      </c>
      <c r="C93" s="1">
        <f t="shared" si="33"/>
        <v>2.8469223312229803</v>
      </c>
      <c r="D93" s="1">
        <f t="shared" si="29"/>
        <v>-1.803610053606956E+41</v>
      </c>
      <c r="E93" s="1">
        <f t="shared" si="30"/>
        <v>-9.0081034632734925E+40</v>
      </c>
      <c r="F93" s="1">
        <f t="shared" si="36"/>
        <v>2.8261510745443208</v>
      </c>
      <c r="G93" s="1">
        <f t="shared" si="35"/>
        <v>2.0771256678659533E-2</v>
      </c>
    </row>
    <row r="94" spans="1:7" x14ac:dyDescent="0.25">
      <c r="A94" s="1">
        <f t="shared" si="31"/>
        <v>10</v>
      </c>
      <c r="B94" s="1">
        <f t="shared" si="32"/>
        <v>2.8469223312229803</v>
      </c>
      <c r="C94" s="1">
        <f t="shared" si="33"/>
        <v>2.8261510745443208</v>
      </c>
      <c r="D94" s="1">
        <f t="shared" si="29"/>
        <v>-9.0081034632734925E+40</v>
      </c>
      <c r="E94" s="1">
        <f t="shared" si="30"/>
        <v>-4.5057317173925552E+40</v>
      </c>
      <c r="F94" s="1">
        <f t="shared" si="36"/>
        <v>2.8053643169619953</v>
      </c>
      <c r="G94" s="1">
        <f t="shared" si="35"/>
        <v>2.078675758232551E-2</v>
      </c>
    </row>
    <row r="95" spans="1:7" x14ac:dyDescent="0.25">
      <c r="A95" s="1">
        <f t="shared" si="31"/>
        <v>11</v>
      </c>
      <c r="B95" s="1">
        <f t="shared" si="32"/>
        <v>2.8261510745443208</v>
      </c>
      <c r="C95" s="1">
        <f t="shared" si="33"/>
        <v>2.8053643169619953</v>
      </c>
      <c r="D95" s="1">
        <f t="shared" si="29"/>
        <v>-4.5057317173925552E+40</v>
      </c>
      <c r="E95" s="1">
        <f t="shared" si="30"/>
        <v>-2.2524194987427966E+40</v>
      </c>
      <c r="F95" s="1">
        <f t="shared" si="36"/>
        <v>2.7845857947019397</v>
      </c>
      <c r="G95" s="1">
        <f t="shared" si="35"/>
        <v>2.077852226005561E-2</v>
      </c>
    </row>
    <row r="96" spans="1:7" x14ac:dyDescent="0.25">
      <c r="A96" s="1">
        <f t="shared" si="31"/>
        <v>12</v>
      </c>
      <c r="B96" s="1">
        <f t="shared" si="32"/>
        <v>2.8053643169619953</v>
      </c>
      <c r="C96" s="1">
        <f t="shared" si="33"/>
        <v>2.7845857947019397</v>
      </c>
      <c r="D96" s="1">
        <f t="shared" si="29"/>
        <v>-2.2524194987427966E+40</v>
      </c>
      <c r="E96" s="1">
        <f t="shared" si="30"/>
        <v>-1.1262341537779715E+40</v>
      </c>
      <c r="F96" s="1">
        <f t="shared" si="36"/>
        <v>2.7638063719018309</v>
      </c>
      <c r="G96" s="1">
        <f t="shared" si="35"/>
        <v>2.0779422800108804E-2</v>
      </c>
    </row>
    <row r="97" spans="1:7" x14ac:dyDescent="0.25">
      <c r="A97" s="1">
        <f t="shared" ref="A97:A101" si="37">A96+1</f>
        <v>13</v>
      </c>
      <c r="B97" s="1">
        <f t="shared" si="32"/>
        <v>2.7845857947019397</v>
      </c>
      <c r="C97" s="1">
        <f t="shared" ref="C97:C101" si="38">F96</f>
        <v>2.7638063719018309</v>
      </c>
      <c r="D97" s="1">
        <f t="shared" ref="D97:D101" si="39">COS(B97)^2 - 0.5*B97*EXP(33*B97) + 5</f>
        <v>-1.1262341537779715E+40</v>
      </c>
      <c r="E97" s="1">
        <f t="shared" ref="E97:E101" si="40">COS(C97)^2 - 0.5*C97*EXP(33*C97) + 5</f>
        <v>-5.6308100641150765E+39</v>
      </c>
      <c r="F97" s="1">
        <f t="shared" ref="F97:F101" si="41">C97 - E97*(C97-B97)/(E97-D97)</f>
        <v>2.743029610984038</v>
      </c>
      <c r="G97" s="1">
        <f t="shared" ref="G97:G101" si="42">ABS(F97-C97)</f>
        <v>2.0776760917792902E-2</v>
      </c>
    </row>
    <row r="98" spans="1:7" x14ac:dyDescent="0.25">
      <c r="A98" s="1">
        <f t="shared" si="37"/>
        <v>14</v>
      </c>
      <c r="B98" s="1">
        <f t="shared" si="32"/>
        <v>2.7638063719018309</v>
      </c>
      <c r="C98" s="1">
        <f t="shared" si="38"/>
        <v>2.743029610984038</v>
      </c>
      <c r="D98" s="1">
        <f t="shared" si="39"/>
        <v>-5.6308100641150765E+39</v>
      </c>
      <c r="E98" s="1">
        <f t="shared" si="40"/>
        <v>-2.8153155807647152E+39</v>
      </c>
      <c r="F98" s="1">
        <f t="shared" si="41"/>
        <v>2.7222541702663987</v>
      </c>
      <c r="G98" s="1">
        <f t="shared" si="42"/>
        <v>2.077544071763926E-2</v>
      </c>
    </row>
    <row r="99" spans="1:7" x14ac:dyDescent="0.25">
      <c r="A99" s="1">
        <f t="shared" si="37"/>
        <v>15</v>
      </c>
      <c r="B99" s="1">
        <f t="shared" si="32"/>
        <v>2.743029610984038</v>
      </c>
      <c r="C99" s="1">
        <f t="shared" si="38"/>
        <v>2.7222541702663987</v>
      </c>
      <c r="D99" s="1">
        <f t="shared" si="39"/>
        <v>-2.8153155807647152E+39</v>
      </c>
      <c r="E99" s="1">
        <f t="shared" si="40"/>
        <v>-1.4075943149402378E+39</v>
      </c>
      <c r="F99" s="1">
        <f t="shared" si="41"/>
        <v>2.701480603116087</v>
      </c>
      <c r="G99" s="1">
        <f t="shared" si="42"/>
        <v>2.0773567150311756E-2</v>
      </c>
    </row>
    <row r="100" spans="1:7" x14ac:dyDescent="0.25">
      <c r="A100" s="1">
        <f t="shared" si="37"/>
        <v>16</v>
      </c>
      <c r="B100" s="1">
        <f t="shared" si="32"/>
        <v>2.7222541702663987</v>
      </c>
      <c r="C100" s="1">
        <f t="shared" si="38"/>
        <v>2.701480603116087</v>
      </c>
      <c r="D100" s="1">
        <f t="shared" si="39"/>
        <v>-1.4075943149402378E+39</v>
      </c>
      <c r="E100" s="1">
        <f t="shared" si="40"/>
        <v>-7.0376843093688069E+38</v>
      </c>
      <c r="F100" s="1">
        <f t="shared" si="41"/>
        <v>2.6807087317049652</v>
      </c>
      <c r="G100" s="1">
        <f t="shared" si="42"/>
        <v>2.0771871411121801E-2</v>
      </c>
    </row>
    <row r="101" spans="1:7" x14ac:dyDescent="0.25">
      <c r="A101" s="1">
        <f t="shared" si="37"/>
        <v>17</v>
      </c>
      <c r="B101" s="1">
        <f t="shared" si="32"/>
        <v>2.701480603116087</v>
      </c>
      <c r="C101" s="1">
        <f t="shared" si="38"/>
        <v>2.6807087317049652</v>
      </c>
      <c r="D101" s="1">
        <f t="shared" si="39"/>
        <v>-7.0376843093688069E+38</v>
      </c>
      <c r="E101" s="1">
        <f t="shared" si="40"/>
        <v>-3.5186895860952483E+38</v>
      </c>
      <c r="F101" s="1">
        <f t="shared" si="41"/>
        <v>2.6599386614531881</v>
      </c>
      <c r="G101" s="1">
        <f t="shared" si="42"/>
        <v>2.0770070251777017E-2</v>
      </c>
    </row>
    <row r="102" spans="1:7" x14ac:dyDescent="0.25">
      <c r="A102" s="1">
        <f t="shared" ref="A102:A104" si="43">A101+1</f>
        <v>18</v>
      </c>
      <c r="B102" s="1">
        <f t="shared" si="32"/>
        <v>2.6807087317049652</v>
      </c>
      <c r="C102" s="1">
        <f t="shared" ref="C102:C104" si="44">F101</f>
        <v>2.6599386614531881</v>
      </c>
      <c r="D102" s="1">
        <f t="shared" ref="D102:D104" si="45">COS(B102)^2 - 0.5*B102*EXP(33*B102) + 5</f>
        <v>-3.5186895860952483E+38</v>
      </c>
      <c r="E102" s="1">
        <f t="shared" ref="E102:E104" si="46">COS(C102)^2 - 0.5*C102*EXP(33*C102) + 5</f>
        <v>-1.7592686387906986E+38</v>
      </c>
      <c r="F102" s="1">
        <f t="shared" ref="F102:F104" si="47">C102 - E102*(C102-B102)/(E102-D102)</f>
        <v>2.6391703892125906</v>
      </c>
      <c r="G102" s="1">
        <f t="shared" ref="G102:G104" si="48">ABS(F102-C102)</f>
        <v>2.0768272240597518E-2</v>
      </c>
    </row>
    <row r="103" spans="1:7" x14ac:dyDescent="0.25">
      <c r="A103" s="1">
        <f t="shared" si="43"/>
        <v>19</v>
      </c>
      <c r="B103" s="1">
        <f t="shared" si="32"/>
        <v>2.6599386614531881</v>
      </c>
      <c r="C103" s="1">
        <f t="shared" si="44"/>
        <v>2.6391703892125906</v>
      </c>
      <c r="D103" s="1">
        <f t="shared" si="45"/>
        <v>-1.7592686387906986E+38</v>
      </c>
      <c r="E103" s="1">
        <f t="shared" si="46"/>
        <v>-8.7959540079948256E+37</v>
      </c>
      <c r="F103" s="1">
        <f t="shared" si="47"/>
        <v>2.6184039546361602</v>
      </c>
      <c r="G103" s="1">
        <f t="shared" si="48"/>
        <v>2.0766434576430459E-2</v>
      </c>
    </row>
    <row r="104" spans="1:7" x14ac:dyDescent="0.25">
      <c r="A104" s="1">
        <f t="shared" si="43"/>
        <v>20</v>
      </c>
      <c r="B104" s="1">
        <f t="shared" si="32"/>
        <v>2.6391703892125906</v>
      </c>
      <c r="C104" s="1">
        <f t="shared" si="44"/>
        <v>2.6184039546361602</v>
      </c>
      <c r="D104" s="1">
        <f t="shared" si="45"/>
        <v>-8.7959540079948256E+37</v>
      </c>
      <c r="E104" s="1">
        <f t="shared" si="46"/>
        <v>-4.3977798594426234E+37</v>
      </c>
      <c r="F104" s="1">
        <f t="shared" si="47"/>
        <v>2.5976393817365806</v>
      </c>
      <c r="G104" s="1">
        <f t="shared" si="48"/>
        <v>2.0764572899579559E-2</v>
      </c>
    </row>
  </sheetData>
  <mergeCells count="20">
    <mergeCell ref="B80:C80"/>
    <mergeCell ref="B81:C81"/>
    <mergeCell ref="B53:C53"/>
    <mergeCell ref="B54:C54"/>
    <mergeCell ref="B55:C55"/>
    <mergeCell ref="B77:C77"/>
    <mergeCell ref="B78:C78"/>
    <mergeCell ref="B79:C79"/>
    <mergeCell ref="B30:C30"/>
    <mergeCell ref="B31:C31"/>
    <mergeCell ref="B32:C32"/>
    <mergeCell ref="B33:C33"/>
    <mergeCell ref="B51:C51"/>
    <mergeCell ref="B52:C52"/>
    <mergeCell ref="B7:C7"/>
    <mergeCell ref="B8:C8"/>
    <mergeCell ref="B9:C9"/>
    <mergeCell ref="B10:C10"/>
    <mergeCell ref="B11:C11"/>
    <mergeCell ref="B29:C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Biseccion</vt:lpstr>
      <vt:lpstr>Newton-Raphson</vt:lpstr>
      <vt:lpstr>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Escobar</dc:creator>
  <cp:lastModifiedBy>Cristhian Escobar</cp:lastModifiedBy>
  <dcterms:created xsi:type="dcterms:W3CDTF">2025-12-01T00:03:29Z</dcterms:created>
  <dcterms:modified xsi:type="dcterms:W3CDTF">2025-12-01T01:27:13Z</dcterms:modified>
</cp:coreProperties>
</file>